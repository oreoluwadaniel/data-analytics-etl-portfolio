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ETL-Portfolio\Project-02-HR-ETL\Processed data\"/>
    </mc:Choice>
  </mc:AlternateContent>
  <xr:revisionPtr revIDLastSave="0" documentId="13_ncr:1_{FA956527-9F7E-49BE-9D02-37E9754E87B7}" xr6:coauthVersionLast="47" xr6:coauthVersionMax="47" xr10:uidLastSave="{00000000-0000-0000-0000-000000000000}"/>
  <bookViews>
    <workbookView xWindow="-120" yWindow="-120" windowWidth="20730" windowHeight="11040" activeTab="1" xr2:uid="{2917A474-9D36-451D-867E-4A1092CEF5AE}"/>
  </bookViews>
  <sheets>
    <sheet name="Employee_Master" sheetId="10" r:id="rId1"/>
    <sheet name="Dashboard" sheetId="12" r:id="rId2"/>
    <sheet name="Pivot" sheetId="13" state="hidden" r:id="rId3"/>
  </sheets>
  <definedNames>
    <definedName name="ExternalData_9" localSheetId="0" hidden="1">Employee_Master!$A$1:$N$1002</definedName>
    <definedName name="Slicer_Department">#N/A</definedName>
    <definedName name="Slicer_Manager">#N/A</definedName>
    <definedName name="Slicer_Rat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6" i="12" l="1"/>
  <c r="U77" i="12"/>
  <c r="U76" i="12"/>
  <c r="V75" i="12"/>
  <c r="U75" i="12"/>
  <c r="U74" i="12"/>
  <c r="U73" i="12"/>
  <c r="U72" i="12"/>
  <c r="U71" i="12"/>
  <c r="U70" i="12"/>
  <c r="U69" i="12"/>
  <c r="W68" i="12"/>
  <c r="U68" i="12"/>
  <c r="W77" i="12" s="1"/>
  <c r="T77" i="12"/>
  <c r="S77" i="12"/>
  <c r="T76" i="12"/>
  <c r="S76" i="12"/>
  <c r="T75" i="12"/>
  <c r="S75" i="12"/>
  <c r="T74" i="12"/>
  <c r="S74" i="12"/>
  <c r="T73" i="12"/>
  <c r="S73" i="12"/>
  <c r="T72" i="12"/>
  <c r="S72" i="12"/>
  <c r="T71" i="12"/>
  <c r="S71" i="12"/>
  <c r="T70" i="12"/>
  <c r="S70" i="12"/>
  <c r="T69" i="12"/>
  <c r="S69" i="12"/>
  <c r="T68" i="12"/>
  <c r="S68" i="12"/>
  <c r="V67" i="12"/>
  <c r="U67" i="12"/>
  <c r="T67" i="12"/>
  <c r="S67" i="12"/>
  <c r="A62" i="12"/>
  <c r="A60" i="12"/>
  <c r="A59" i="12"/>
  <c r="A57" i="12"/>
  <c r="A56" i="12"/>
  <c r="A55" i="12"/>
  <c r="A58" i="12"/>
  <c r="A54" i="12" a="1"/>
  <c r="A54" i="12" s="1"/>
  <c r="AH67" i="12"/>
  <c r="AE71" i="12"/>
  <c r="AE70" i="12"/>
  <c r="AE69" i="12"/>
  <c r="AB69" i="12"/>
  <c r="AE68" i="12"/>
  <c r="AE67" i="12"/>
  <c r="AA77" i="12"/>
  <c r="AA76" i="12"/>
  <c r="AA75" i="12"/>
  <c r="AA74" i="12"/>
  <c r="AA73" i="12"/>
  <c r="AA72" i="12"/>
  <c r="X72" i="12"/>
  <c r="AA71" i="12"/>
  <c r="AA70" i="12"/>
  <c r="AA69" i="12"/>
  <c r="AA68" i="12"/>
  <c r="X68" i="12"/>
  <c r="R76" i="12"/>
  <c r="R72" i="12"/>
  <c r="AA67" i="12"/>
  <c r="X67" i="12"/>
  <c r="E14" i="12"/>
  <c r="E13" i="12"/>
  <c r="P71" i="12"/>
  <c r="O71" i="12"/>
  <c r="AB71" i="12" s="1"/>
  <c r="N71" i="12"/>
  <c r="P70" i="12"/>
  <c r="O70" i="12"/>
  <c r="AB70" i="12" s="1"/>
  <c r="N70" i="12"/>
  <c r="P69" i="12"/>
  <c r="O69" i="12"/>
  <c r="N69" i="12"/>
  <c r="P68" i="12"/>
  <c r="O68" i="12"/>
  <c r="AB68" i="12" s="1"/>
  <c r="N68" i="12"/>
  <c r="J71" i="12"/>
  <c r="J70" i="12"/>
  <c r="J69" i="12"/>
  <c r="K69" i="12" s="1"/>
  <c r="J68" i="12"/>
  <c r="P67" i="12"/>
  <c r="O67" i="12"/>
  <c r="M38" i="12" s="1"/>
  <c r="N67" i="12"/>
  <c r="J67" i="12"/>
  <c r="AG67" i="12" s="1"/>
  <c r="G77" i="12"/>
  <c r="F77" i="12"/>
  <c r="E77" i="12"/>
  <c r="X77" i="12" s="1"/>
  <c r="C77" i="12"/>
  <c r="D77" i="12" s="1"/>
  <c r="B77" i="12"/>
  <c r="R77" i="12" s="1"/>
  <c r="G76" i="12"/>
  <c r="F76" i="12"/>
  <c r="E76" i="12"/>
  <c r="X76" i="12" s="1"/>
  <c r="C76" i="12"/>
  <c r="D76" i="12" s="1"/>
  <c r="B76" i="12"/>
  <c r="G75" i="12"/>
  <c r="F75" i="12"/>
  <c r="E75" i="12"/>
  <c r="X75" i="12" s="1"/>
  <c r="C75" i="12"/>
  <c r="D75" i="12" s="1"/>
  <c r="B75" i="12"/>
  <c r="R75" i="12" s="1"/>
  <c r="G74" i="12"/>
  <c r="F74" i="12"/>
  <c r="E74" i="12"/>
  <c r="X74" i="12" s="1"/>
  <c r="C74" i="12"/>
  <c r="B74" i="12"/>
  <c r="R74" i="12" s="1"/>
  <c r="G73" i="12"/>
  <c r="F73" i="12"/>
  <c r="E73" i="12"/>
  <c r="X73" i="12" s="1"/>
  <c r="D73" i="12"/>
  <c r="C73" i="12"/>
  <c r="B73" i="12"/>
  <c r="R73" i="12" s="1"/>
  <c r="G72" i="12"/>
  <c r="F72" i="12"/>
  <c r="E72" i="12"/>
  <c r="C72" i="12"/>
  <c r="B72" i="12"/>
  <c r="G71" i="12"/>
  <c r="F71" i="12"/>
  <c r="E71" i="12"/>
  <c r="X71" i="12" s="1"/>
  <c r="C71" i="12"/>
  <c r="B71" i="12"/>
  <c r="R71" i="12" s="1"/>
  <c r="G70" i="12"/>
  <c r="F70" i="12"/>
  <c r="E70" i="12"/>
  <c r="X70" i="12" s="1"/>
  <c r="C70" i="12"/>
  <c r="D70" i="12" s="1"/>
  <c r="B70" i="12"/>
  <c r="R70" i="12" s="1"/>
  <c r="G69" i="12"/>
  <c r="F69" i="12"/>
  <c r="E69" i="12"/>
  <c r="X69" i="12" s="1"/>
  <c r="C69" i="12"/>
  <c r="B69" i="12"/>
  <c r="R69" i="12" s="1"/>
  <c r="G68" i="12"/>
  <c r="F68" i="12"/>
  <c r="F78" i="12" s="1"/>
  <c r="E68" i="12"/>
  <c r="C68" i="12"/>
  <c r="B68" i="12"/>
  <c r="G67" i="12"/>
  <c r="F67" i="12"/>
  <c r="E67" i="12"/>
  <c r="D67" i="12"/>
  <c r="C67" i="12"/>
  <c r="B67" i="12"/>
  <c r="A15" i="12" s="1"/>
  <c r="Q13" i="12"/>
  <c r="Q14" i="12" s="1"/>
  <c r="M13" i="12"/>
  <c r="M14" i="12" s="1"/>
  <c r="I13" i="12"/>
  <c r="I14" i="12" s="1"/>
  <c r="A13" i="12"/>
  <c r="Q11" i="12"/>
  <c r="M11" i="12"/>
  <c r="I11" i="12"/>
  <c r="E11" i="12"/>
  <c r="A11" i="12"/>
  <c r="A16" i="12" s="1"/>
  <c r="N5" i="12"/>
  <c r="F1" i="13"/>
  <c r="F7" i="13"/>
  <c r="F4" i="13"/>
  <c r="D4" i="13"/>
  <c r="B7" i="13"/>
  <c r="B4" i="13"/>
  <c r="D7" i="13"/>
  <c r="V71" i="12" l="1"/>
  <c r="W72" i="12"/>
  <c r="W76" i="12"/>
  <c r="W67" i="12"/>
  <c r="V70" i="12"/>
  <c r="V74" i="12"/>
  <c r="V69" i="12"/>
  <c r="W70" i="12"/>
  <c r="V73" i="12"/>
  <c r="W74" i="12"/>
  <c r="V77" i="12"/>
  <c r="W71" i="12"/>
  <c r="W75" i="12"/>
  <c r="V68" i="12"/>
  <c r="W69" i="12"/>
  <c r="V72" i="12"/>
  <c r="W73" i="12"/>
  <c r="V76" i="12"/>
  <c r="Z67" i="12"/>
  <c r="AD71" i="12"/>
  <c r="Y67" i="12"/>
  <c r="AB67" i="12"/>
  <c r="AI67" i="12"/>
  <c r="A7" i="12"/>
  <c r="B78" i="12"/>
  <c r="D71" i="12"/>
  <c r="D74" i="12"/>
  <c r="K70" i="12"/>
  <c r="A14" i="12"/>
  <c r="D72" i="12"/>
  <c r="K71" i="12"/>
  <c r="R67" i="12"/>
  <c r="AJ67" i="12"/>
  <c r="D68" i="12"/>
  <c r="D69" i="12"/>
  <c r="K67" i="12"/>
  <c r="A31" i="12" s="1"/>
  <c r="K68" i="12"/>
  <c r="R68" i="12"/>
  <c r="AK67" i="12"/>
  <c r="AC67" i="12"/>
  <c r="AC68" i="12"/>
  <c r="AC69" i="12"/>
  <c r="AC70" i="12"/>
  <c r="AC71" i="12"/>
  <c r="AD67" i="12"/>
  <c r="AD68" i="12"/>
  <c r="AD69" i="12"/>
  <c r="AD70" i="12"/>
  <c r="Y69" i="12"/>
  <c r="Y71" i="12"/>
  <c r="Y73" i="12"/>
  <c r="Y75" i="12"/>
  <c r="Y76" i="12"/>
  <c r="Z68" i="12"/>
  <c r="Z69" i="12"/>
  <c r="Z70" i="12"/>
  <c r="Z71" i="12"/>
  <c r="Z72" i="12"/>
  <c r="Z73" i="12"/>
  <c r="Z74" i="12"/>
  <c r="Z75" i="12"/>
  <c r="Z76" i="12"/>
  <c r="Z77" i="12"/>
  <c r="Y68" i="12"/>
  <c r="Y70" i="12"/>
  <c r="Y72" i="12"/>
  <c r="Y74" i="12"/>
  <c r="Y77" i="12"/>
  <c r="C78" i="12"/>
  <c r="A61" i="12" s="1"/>
  <c r="A38"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51C036-E82E-47FE-8ACB-E3B280BDF808}" keepAlive="1" name="Query - Attendance_clean" description="Connection to the 'Attendance_clean' query in the workbook." type="5" refreshedVersion="0" background="1">
    <dbPr connection="Provider=Microsoft.Mashup.OleDb.1;Data Source=$Workbook$;Location=Attendance_clean;Extended Properties=&quot;&quot;" command="SELECT * FROM [Attendance_clean]"/>
  </connection>
  <connection id="2" xr16:uid="{679B7F61-D4ED-4007-A8AC-5FB5CF29A1E5}" keepAlive="1" name="Query - Attendance_Present" description="Connection to the 'Attendance_Present' query in the workbook." type="5" refreshedVersion="7" background="1" saveData="1">
    <dbPr connection="Provider=Microsoft.Mashup.OleDb.1;Data Source=$Workbook$;Location=Attendance_Present;Extended Properties=&quot;&quot;" command="SELECT * FROM [Attendance_Present]"/>
  </connection>
  <connection id="3" xr16:uid="{79EEEB50-1921-44E4-9D14-EEE4BB9BEE5B}" keepAlive="1" name="Query - Attendance_Present (2)" description="Connection to the 'Attendance_Present (2)' query in the workbook." type="5" refreshedVersion="7" background="1" saveData="1">
    <dbPr connection="Provider=Microsoft.Mashup.OleDb.1;Data Source=$Workbook$;Location=&quot;Attendance_Present (2)&quot;;Extended Properties=&quot;&quot;" command="SELECT * FROM [Attendance_Present (2)]"/>
  </connection>
  <connection id="4" xr16:uid="{D7F5B082-F472-4B54-9575-D4FAEF0CAA93}" keepAlive="1" name="Query - Attendance_Summary" description="Connection to the 'Attendance_Summary' query in the workbook." type="5" refreshedVersion="7" background="1" saveData="1">
    <dbPr connection="Provider=Microsoft.Mashup.OleDb.1;Data Source=$Workbook$;Location=Attendance_Summary;Extended Properties=&quot;&quot;" command="SELECT * FROM [Attendance_Summary]"/>
  </connection>
  <connection id="5" xr16:uid="{E02BD84A-32CB-4E7F-A0EA-D7BBDC16290F}" keepAlive="1" name="Query - Employee_Master" description="Connection to the 'Employee_Master' query in the workbook." type="5" refreshedVersion="7" background="1" refreshOnLoad="1" saveData="1">
    <dbPr connection="Provider=Microsoft.Mashup.OleDb.1;Data Source=$Workbook$;Location=Employee_Master;Extended Properties=&quot;&quot;" command="SELECT * FROM [Employee_Master]"/>
  </connection>
  <connection id="6" xr16:uid="{3DD7BD78-4088-4BE4-A3D9-8FB34D91BCC3}" keepAlive="1" name="Query - Leave_Clean" description="Connection to the 'Leave_Clean' query in the workbook." type="5" refreshedVersion="7" background="1" saveData="1">
    <dbPr connection="Provider=Microsoft.Mashup.OleDb.1;Data Source=$Workbook$;Location=Leave_Clean;Extended Properties=&quot;&quot;" command="SELECT * FROM [Leave_Clean]"/>
  </connection>
  <connection id="7" xr16:uid="{E366C2AB-82B8-4E4D-AE21-1B7B8B19DB15}" keepAlive="1" name="Query - Leave_Summary" description="Connection to the 'Leave_Summary' query in the workbook." type="5" refreshedVersion="7" background="1" saveData="1">
    <dbPr connection="Provider=Microsoft.Mashup.OleDb.1;Data Source=$Workbook$;Location=Leave_Summary;Extended Properties=&quot;&quot;" command="SELECT * FROM [Leave_Summary]"/>
  </connection>
  <connection id="8" xr16:uid="{61C7CDD8-91C6-4DD8-BD7B-22DE26A46C77}" keepAlive="1" name="Query - Payroll_Clean" description="Connection to the 'Payroll_Clean' query in the workbook." type="5" refreshedVersion="7" background="1" saveData="1">
    <dbPr connection="Provider=Microsoft.Mashup.OleDb.1;Data Source=$Workbook$;Location=Payroll_Clean;Extended Properties=&quot;&quot;" command="SELECT * FROM [Payroll_Clean]"/>
  </connection>
  <connection id="9" xr16:uid="{584E8FD6-9791-462E-B591-5CC75FC5010A}" keepAlive="1" name="Query - Performance_Clean" description="Connection to the 'Performance_Clean' query in the workbook." type="5" refreshedVersion="7" background="1" saveData="1">
    <dbPr connection="Provider=Microsoft.Mashup.OleDb.1;Data Source=$Workbook$;Location=Performance_Clean;Extended Properties=&quot;&quot;" command="SELECT * FROM [Performance_Clean]"/>
  </connection>
  <connection id="10" xr16:uid="{AED580FE-BF62-4845-B327-3035FB358E7E}" keepAlive="1" name="Query - Performance_Summary" description="Connection to the 'Performance_Summary' query in the workbook." type="5" refreshedVersion="7" background="1" saveData="1">
    <dbPr connection="Provider=Microsoft.Mashup.OleDb.1;Data Source=$Workbook$;Location=Performance_Summary;Extended Properties=&quot;&quot;" command="SELECT * FROM [Performance_Summa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<sst xmlns="http://schemas.openxmlformats.org/spreadsheetml/2006/main" count="5172" uniqueCount="1458">
  <si>
    <t>EmployeeID</t>
  </si>
  <si>
    <t>Department</t>
  </si>
  <si>
    <t>EMP0001</t>
  </si>
  <si>
    <t>Procurement</t>
  </si>
  <si>
    <t>EMP0002</t>
  </si>
  <si>
    <t>Finance</t>
  </si>
  <si>
    <t>EMP0003</t>
  </si>
  <si>
    <t>Operations</t>
  </si>
  <si>
    <t>EMP0004</t>
  </si>
  <si>
    <t>Marketing</t>
  </si>
  <si>
    <t>EMP0005</t>
  </si>
  <si>
    <t>EMP0006</t>
  </si>
  <si>
    <t>Logistics</t>
  </si>
  <si>
    <t>EMP0007</t>
  </si>
  <si>
    <t>EMP0008</t>
  </si>
  <si>
    <t>EMP0009</t>
  </si>
  <si>
    <t>EMP0010</t>
  </si>
  <si>
    <t>EMP0011</t>
  </si>
  <si>
    <t>EMP0012</t>
  </si>
  <si>
    <t>EMP0013</t>
  </si>
  <si>
    <t>EMP0014</t>
  </si>
  <si>
    <t>EMP0015</t>
  </si>
  <si>
    <t>EMP0016</t>
  </si>
  <si>
    <t>Human Resources</t>
  </si>
  <si>
    <t>EMP0017</t>
  </si>
  <si>
    <t>EMP0018</t>
  </si>
  <si>
    <t>EMP0019</t>
  </si>
  <si>
    <t>Sales</t>
  </si>
  <si>
    <t>EMP0020</t>
  </si>
  <si>
    <t>EMP0021</t>
  </si>
  <si>
    <t>EMP0022</t>
  </si>
  <si>
    <t>EMP0023</t>
  </si>
  <si>
    <t>EMP0024</t>
  </si>
  <si>
    <t>EMP0025</t>
  </si>
  <si>
    <t>EMP0026</t>
  </si>
  <si>
    <t>EMP0027</t>
  </si>
  <si>
    <t>EMP0028</t>
  </si>
  <si>
    <t>Customer Success</t>
  </si>
  <si>
    <t>EMP0029</t>
  </si>
  <si>
    <t>EMP0030</t>
  </si>
  <si>
    <t>EMP0031</t>
  </si>
  <si>
    <t>EMP0032</t>
  </si>
  <si>
    <t>EMP0033</t>
  </si>
  <si>
    <t>EMP0034</t>
  </si>
  <si>
    <t>EMP0035</t>
  </si>
  <si>
    <t>EMP0036</t>
  </si>
  <si>
    <t>EMP0037</t>
  </si>
  <si>
    <t>EMP0038</t>
  </si>
  <si>
    <t>EMP0039</t>
  </si>
  <si>
    <t>EMP0040</t>
  </si>
  <si>
    <t>EMP0041</t>
  </si>
  <si>
    <t>EMP0042</t>
  </si>
  <si>
    <t>Legal</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</si>
  <si>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</si>
  <si>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</si>
  <si>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</si>
  <si>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</si>
  <si>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</si>
  <si>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</si>
  <si>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</si>
  <si>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</si>
  <si>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</si>
  <si>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</si>
  <si>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</si>
  <si>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</si>
  <si>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</si>
  <si>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</si>
  <si>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</si>
  <si>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</si>
  <si>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</si>
  <si>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</si>
  <si>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</si>
  <si>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</si>
  <si>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</si>
  <si>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</si>
  <si>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</si>
  <si>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</si>
  <si>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</si>
  <si>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</si>
  <si>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</si>
  <si>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</si>
  <si>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</si>
  <si>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</si>
  <si>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</si>
  <si>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</si>
  <si>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</si>
  <si>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</si>
  <si>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</si>
  <si>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</si>
  <si>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</si>
  <si>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</si>
  <si>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</si>
  <si>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</si>
  <si>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</si>
  <si>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</si>
  <si>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</si>
  <si>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</si>
  <si>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</si>
  <si>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</si>
  <si>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</si>
  <si>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</si>
  <si>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</si>
  <si>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</si>
  <si>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</si>
  <si>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</si>
  <si>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</si>
  <si>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</si>
  <si>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</si>
  <si>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</si>
  <si>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</si>
  <si>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</si>
  <si>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</si>
  <si>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</si>
  <si>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</si>
  <si>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</si>
  <si>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</si>
  <si>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</si>
  <si>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</si>
  <si>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</si>
  <si>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</si>
  <si>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</si>
  <si>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</si>
  <si>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</si>
  <si>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</si>
  <si>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</si>
  <si>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</si>
  <si>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</si>
  <si>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</si>
  <si>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</si>
  <si>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</si>
  <si>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</si>
  <si>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</si>
  <si>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</si>
  <si>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</si>
  <si>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</si>
  <si>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</si>
  <si>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</si>
  <si>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</si>
  <si>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</si>
  <si>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</si>
  <si>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</si>
  <si>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</si>
  <si>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</si>
  <si>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</si>
  <si>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</si>
  <si>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</si>
  <si>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</si>
  <si>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</si>
  <si>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</si>
  <si>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</si>
  <si>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</si>
  <si>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</si>
  <si>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</si>
  <si>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</si>
  <si>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</si>
  <si>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</si>
  <si>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</si>
  <si>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</si>
  <si>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</si>
  <si>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</si>
  <si>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</si>
  <si>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</si>
  <si>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</si>
  <si>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</si>
  <si>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</si>
  <si>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</si>
  <si>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</si>
  <si>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</si>
  <si>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</si>
  <si>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</si>
  <si>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</si>
  <si>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</si>
  <si>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</si>
  <si>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</si>
  <si>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</si>
  <si>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</si>
  <si>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</si>
  <si>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</si>
  <si>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</si>
  <si>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</si>
  <si>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</si>
  <si>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</si>
  <si>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</si>
  <si>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</si>
  <si>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</si>
  <si>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</si>
  <si>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</si>
  <si>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</si>
  <si>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</si>
  <si>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</si>
  <si>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</si>
  <si>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</si>
  <si>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</si>
  <si>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</si>
  <si>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</si>
  <si>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</si>
  <si>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</si>
  <si>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</si>
  <si>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</si>
  <si>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</si>
  <si>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</si>
  <si>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</si>
  <si>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</si>
  <si>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</si>
  <si>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</si>
  <si>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</si>
  <si>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</si>
  <si>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</si>
  <si>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</si>
  <si>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</si>
  <si>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</si>
  <si>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</si>
  <si>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</si>
  <si>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</si>
  <si>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</si>
  <si>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</si>
  <si>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</si>
  <si>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</si>
  <si>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</si>
  <si>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</si>
  <si>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</si>
  <si>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</si>
  <si>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</si>
  <si>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</si>
  <si>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</si>
  <si>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</si>
  <si>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</si>
  <si>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</si>
  <si>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</si>
  <si>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</si>
  <si>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</si>
  <si>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</si>
  <si>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</si>
  <si>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</si>
  <si>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</si>
  <si>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</si>
  <si>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</si>
  <si>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</si>
  <si>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</si>
  <si>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</si>
  <si>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</si>
  <si>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</si>
  <si>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</si>
  <si>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</si>
  <si>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</si>
  <si>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</si>
  <si>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</si>
  <si>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</si>
  <si>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</si>
  <si>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</si>
  <si>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</si>
  <si>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</si>
  <si>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</si>
  <si>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</si>
  <si>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</si>
  <si>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</si>
  <si>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</si>
  <si>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</si>
  <si>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</si>
  <si>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</si>
  <si>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</si>
  <si>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</si>
  <si>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</si>
  <si>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</si>
  <si>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</si>
  <si>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</si>
  <si>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</si>
  <si>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</si>
  <si>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</si>
  <si>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</si>
  <si>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</si>
  <si>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</si>
  <si>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</si>
  <si>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</si>
  <si>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</si>
  <si>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</si>
  <si>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</si>
  <si>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</si>
  <si>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</si>
  <si>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</si>
  <si>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</si>
  <si>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</si>
  <si>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</si>
  <si>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</si>
  <si>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</si>
  <si>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</si>
  <si>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</si>
  <si>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</si>
  <si>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</si>
  <si>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</si>
  <si>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</si>
  <si>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</si>
  <si>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</si>
  <si>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</si>
  <si>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</si>
  <si>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</si>
  <si>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</si>
  <si>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</si>
  <si>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</si>
  <si>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</si>
  <si>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</si>
  <si>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</si>
  <si>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</si>
  <si>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</si>
  <si>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</si>
  <si>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</si>
  <si>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</si>
  <si>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</si>
  <si>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</si>
  <si>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</si>
  <si>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</si>
  <si>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</si>
  <si>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</si>
  <si>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</si>
  <si>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</si>
  <si>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</si>
  <si>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</si>
  <si>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</si>
  <si>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</si>
  <si>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</si>
  <si>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</si>
  <si>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</si>
  <si>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</si>
  <si>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</si>
  <si>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</si>
  <si>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</si>
  <si>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</si>
  <si>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</si>
  <si>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</si>
  <si>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</si>
  <si>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</si>
  <si>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</si>
  <si>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</si>
  <si>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</si>
  <si>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</si>
  <si>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</si>
  <si>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</si>
  <si>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</si>
  <si>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</si>
  <si>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</si>
  <si>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</si>
  <si>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</si>
  <si>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</si>
  <si>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</si>
  <si>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</si>
  <si>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</si>
  <si>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</si>
  <si>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</si>
  <si>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</si>
  <si>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</si>
  <si>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</si>
  <si>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</si>
  <si>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</si>
  <si>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</si>
  <si>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</si>
  <si>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</si>
  <si>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</si>
  <si>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</si>
  <si>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</si>
  <si>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</si>
  <si>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</si>
  <si>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</si>
  <si>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</si>
  <si>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</si>
  <si>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</si>
  <si>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</si>
  <si>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</si>
  <si>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</si>
  <si>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</si>
  <si>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</si>
  <si>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</si>
  <si>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</si>
  <si>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</si>
  <si>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</si>
  <si>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</si>
  <si>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</si>
  <si>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</si>
  <si>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</si>
  <si>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</si>
  <si>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</si>
  <si>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</si>
  <si>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</si>
  <si>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</si>
  <si>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</si>
  <si>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</si>
  <si>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</si>
  <si>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</si>
  <si>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</si>
  <si>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</si>
  <si>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</si>
  <si>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</si>
  <si>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</si>
  <si>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</si>
  <si>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</si>
  <si>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</si>
  <si>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</si>
  <si>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</si>
  <si>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</si>
  <si>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</si>
  <si>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</si>
  <si>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</si>
  <si>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</si>
  <si>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</si>
  <si>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</si>
  <si>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</si>
  <si>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</si>
  <si>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</si>
  <si>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</si>
  <si>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</si>
  <si>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</si>
  <si>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</si>
  <si>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</si>
  <si>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</si>
  <si>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</si>
  <si>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</si>
  <si>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</si>
  <si>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</si>
  <si>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</si>
  <si>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</si>
  <si>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</si>
  <si>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</si>
  <si>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</si>
  <si>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</si>
  <si>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</si>
  <si>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</si>
  <si>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</si>
  <si>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</si>
  <si>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</si>
  <si>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</si>
  <si>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</si>
  <si>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</si>
  <si>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</si>
  <si>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</si>
  <si>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</si>
  <si>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</si>
  <si>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</si>
  <si>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</si>
  <si>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</si>
  <si>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</si>
  <si>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</si>
  <si>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</si>
  <si>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</si>
  <si>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</si>
  <si>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</si>
  <si>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</si>
  <si>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</si>
  <si>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</si>
  <si>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</si>
  <si>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</si>
  <si>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</si>
  <si>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</si>
  <si>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</si>
  <si>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</si>
  <si>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</si>
  <si>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</si>
  <si>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</si>
  <si>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</si>
  <si>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</si>
  <si>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</si>
  <si>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</si>
  <si>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</si>
  <si>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</si>
  <si>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</si>
  <si>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</si>
  <si>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</si>
  <si>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</si>
  <si>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</si>
  <si>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</si>
  <si>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</si>
  <si>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</si>
  <si>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</si>
  <si>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</si>
  <si>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</si>
  <si>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</si>
  <si>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</si>
  <si>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</si>
  <si>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</si>
  <si>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</si>
  <si>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</si>
  <si>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</si>
  <si>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</si>
  <si>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</si>
  <si>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</si>
  <si>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</si>
  <si>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</si>
  <si>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</si>
  <si>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</si>
  <si>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</si>
  <si>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</si>
  <si>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</si>
  <si>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</si>
  <si>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</si>
  <si>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</si>
  <si>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</si>
  <si>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</si>
  <si>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</si>
  <si>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</si>
  <si>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</si>
  <si>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</si>
  <si>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</si>
  <si>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</si>
  <si>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</si>
  <si>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</si>
  <si>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</si>
  <si>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</si>
  <si>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</si>
  <si>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</si>
  <si>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</si>
  <si>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</si>
  <si>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</si>
  <si>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</si>
  <si>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</si>
  <si>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</si>
  <si>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</si>
  <si>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</si>
  <si>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</si>
  <si>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</si>
  <si>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</si>
  <si>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</si>
  <si>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</si>
  <si>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</si>
  <si>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</si>
  <si>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</si>
  <si>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</si>
  <si>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</si>
  <si>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</si>
  <si>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</si>
  <si>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</si>
  <si>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</si>
  <si>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</si>
  <si>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</si>
  <si>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</si>
  <si>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</si>
  <si>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</si>
  <si>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</si>
  <si>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</si>
  <si>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</si>
  <si>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</si>
  <si>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</si>
  <si>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</si>
  <si>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</si>
  <si>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</si>
  <si>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</si>
  <si>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</si>
  <si>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</si>
  <si>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</si>
  <si>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</si>
  <si>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</si>
  <si>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</si>
  <si>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</si>
  <si>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</si>
  <si>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</si>
  <si>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</si>
  <si>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</si>
  <si>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</si>
  <si>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</si>
  <si>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</si>
  <si>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</si>
  <si>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</si>
  <si>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</si>
  <si>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</si>
  <si>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</si>
  <si>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</si>
  <si>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</si>
  <si>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</si>
  <si>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</si>
  <si>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</si>
  <si>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</si>
  <si>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</si>
  <si>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</si>
  <si>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</si>
  <si>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</si>
  <si>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</si>
  <si>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</si>
  <si>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</si>
  <si>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</si>
  <si>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</si>
  <si>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</si>
  <si>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</si>
  <si>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</si>
  <si>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</si>
  <si>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</si>
  <si>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</si>
  <si>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</si>
  <si>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</si>
  <si>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</si>
  <si>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</si>
  <si>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</si>
  <si>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</si>
  <si>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</si>
  <si>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</si>
  <si>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</si>
  <si>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</si>
  <si>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</si>
  <si>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</si>
  <si>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</si>
  <si>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</si>
  <si>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</si>
  <si>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</si>
  <si>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</si>
  <si>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</si>
  <si>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</si>
  <si>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</si>
  <si>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</si>
  <si>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</si>
  <si>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</si>
  <si>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</si>
  <si>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</si>
  <si>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</si>
  <si>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</si>
  <si>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</si>
  <si>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</si>
  <si>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</si>
  <si>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</si>
  <si>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</si>
  <si>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</si>
  <si>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</si>
  <si>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</si>
  <si>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</si>
  <si>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</si>
  <si>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</si>
  <si>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</si>
  <si>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</si>
  <si>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</si>
  <si>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</si>
  <si>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</si>
  <si>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</si>
  <si>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</si>
  <si>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</si>
  <si>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</si>
  <si>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</si>
  <si>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</si>
  <si>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</si>
  <si>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</si>
  <si>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</si>
  <si>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</si>
  <si>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</si>
  <si>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</si>
  <si>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</si>
  <si>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</si>
  <si>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</si>
  <si>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</si>
  <si>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</si>
  <si>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</si>
  <si>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</si>
  <si>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</si>
  <si>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</si>
  <si>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</si>
  <si>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</si>
  <si>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</si>
  <si>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</si>
  <si>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</si>
  <si>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</si>
  <si>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</si>
  <si>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</si>
  <si>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</si>
  <si>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</si>
  <si>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</si>
  <si>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</si>
  <si>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</si>
  <si>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</si>
  <si>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</si>
  <si>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</si>
  <si>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</si>
  <si>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</si>
  <si>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</si>
  <si>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</si>
  <si>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</si>
  <si>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</si>
  <si>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</si>
  <si>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</si>
  <si>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</si>
  <si>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</si>
  <si>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</si>
  <si>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</si>
  <si>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</si>
  <si>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</si>
  <si>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</si>
  <si>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</si>
  <si>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</si>
  <si>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</si>
  <si>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</si>
  <si>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</si>
  <si>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</si>
  <si>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</si>
  <si>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</si>
  <si>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</si>
  <si>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</si>
  <si>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</si>
  <si>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</si>
  <si>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</si>
  <si>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</si>
  <si>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</si>
  <si>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</si>
  <si>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</si>
  <si>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</si>
  <si>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</si>
  <si>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</si>
  <si>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</si>
  <si>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</si>
  <si>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</si>
  <si>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</si>
  <si>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</si>
  <si>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</si>
  <si>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</si>
  <si>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</si>
  <si>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</si>
  <si>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</si>
  <si>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</si>
  <si>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</si>
  <si>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</si>
  <si>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</si>
  <si>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</si>
  <si>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</si>
  <si>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</si>
  <si>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</si>
  <si>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</si>
  <si>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</si>
  <si>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</si>
  <si>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</si>
  <si>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</si>
  <si>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</si>
  <si>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</si>
  <si>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</si>
  <si>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</si>
  <si>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</si>
  <si>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</si>
  <si>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</si>
  <si>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</si>
  <si>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</si>
  <si>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</si>
  <si>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</si>
  <si>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</si>
  <si>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</si>
  <si>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</si>
  <si>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</si>
  <si>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</si>
  <si>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</si>
  <si>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</si>
  <si>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</si>
  <si>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</si>
  <si>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</si>
  <si>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</si>
  <si>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</si>
  <si>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</si>
  <si>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</si>
  <si>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</si>
  <si>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</si>
  <si>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</si>
  <si>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</si>
  <si>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</si>
  <si>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</si>
  <si>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</si>
  <si>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</si>
  <si>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</si>
  <si>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</si>
  <si>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</si>
  <si>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</si>
  <si>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</si>
  <si>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</si>
  <si>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</si>
  <si>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</si>
  <si>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</si>
  <si>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</si>
  <si>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</si>
  <si>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</si>
  <si>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</si>
  <si>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</si>
  <si>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</si>
  <si>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</si>
  <si>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</si>
  <si>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</si>
  <si>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</si>
  <si>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</si>
  <si>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</si>
  <si>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</si>
  <si>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</si>
  <si>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</si>
  <si>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</si>
  <si>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</si>
  <si>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</si>
  <si>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</si>
  <si>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</si>
  <si>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</si>
  <si>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</si>
  <si>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</si>
  <si>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</si>
  <si>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</si>
  <si>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</si>
  <si>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</si>
  <si>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</si>
  <si>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</si>
  <si>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</si>
  <si>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</si>
  <si>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</si>
  <si>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</si>
  <si>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</si>
  <si>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</si>
  <si>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</si>
  <si>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</si>
  <si>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</si>
  <si>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</si>
  <si>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</si>
  <si>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</si>
  <si>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</si>
  <si>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</si>
  <si>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</si>
  <si>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</si>
  <si>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</si>
  <si>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</si>
  <si>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</si>
  <si>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</si>
  <si>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</si>
  <si>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</si>
  <si>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</si>
  <si>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</si>
  <si>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</si>
  <si>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</si>
  <si>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</si>
  <si>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</si>
  <si>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</si>
  <si>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</si>
  <si>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</si>
  <si>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</si>
  <si>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</si>
  <si>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</si>
  <si>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</si>
  <si>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</si>
  <si>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</si>
  <si>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</si>
  <si>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</si>
  <si>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</si>
  <si>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</si>
  <si>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</si>
  <si>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</si>
  <si>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</si>
  <si>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</si>
  <si>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</si>
  <si>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</si>
  <si>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</si>
  <si>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</si>
  <si>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</si>
  <si>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</si>
  <si>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</si>
  <si>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</si>
  <si>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</si>
  <si>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</si>
  <si>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</si>
  <si>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</si>
  <si>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</si>
  <si>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</si>
  <si>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</si>
  <si>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</si>
  <si>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</si>
  <si>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</si>
  <si>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</si>
  <si>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</si>
  <si>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</si>
  <si>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</si>
  <si>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</si>
  <si>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</si>
  <si>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</si>
  <si>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</si>
  <si>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</si>
  <si>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</si>
  <si>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</si>
  <si>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</si>
  <si>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</si>
  <si>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</si>
  <si>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</si>
  <si>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</si>
  <si>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</si>
  <si>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</si>
  <si>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</si>
  <si>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</si>
  <si>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</si>
  <si>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</si>
  <si>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</si>
  <si>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</si>
  <si>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</si>
  <si>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</si>
  <si>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</si>
  <si>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</si>
  <si>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</si>
  <si>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</si>
  <si>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</si>
  <si>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</si>
  <si>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</si>
  <si>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</si>
  <si>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</si>
  <si>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</si>
  <si>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</si>
  <si>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</si>
  <si>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</si>
  <si>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</si>
  <si>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</si>
  <si>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</si>
  <si>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</si>
  <si>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</si>
  <si>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</si>
  <si>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</si>
  <si>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</si>
  <si>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</si>
  <si>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</si>
  <si>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</si>
  <si>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</si>
  <si>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</si>
  <si>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</si>
  <si>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</si>
  <si>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</si>
  <si>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</si>
  <si>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</si>
  <si>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</si>
  <si>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</si>
  <si>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</si>
  <si>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</si>
  <si>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</si>
  <si>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</si>
  <si>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</si>
  <si>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</si>
  <si>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</si>
  <si>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</si>
  <si>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</si>
  <si>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</si>
  <si>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</si>
  <si>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</si>
  <si>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</si>
  <si>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</si>
  <si>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</si>
  <si>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</si>
  <si>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</si>
  <si>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</si>
  <si>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</si>
  <si>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</si>
  <si>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</si>
  <si>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</si>
  <si>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</si>
  <si>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</si>
  <si>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</si>
  <si>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</si>
  <si>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</si>
  <si>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</si>
  <si>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</si>
  <si>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</si>
  <si>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</si>
  <si>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</si>
  <si>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</si>
  <si>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</si>
  <si>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</si>
  <si>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</si>
  <si>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</si>
  <si>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</si>
  <si>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</si>
  <si>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</si>
  <si>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</si>
  <si>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</si>
  <si>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</si>
  <si>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</si>
  <si>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</si>
  <si>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</si>
  <si>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</si>
  <si>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</si>
  <si>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</si>
  <si>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</si>
  <si>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</si>
  <si>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</si>
  <si>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</si>
  <si>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</si>
  <si>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</si>
  <si>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</si>
  <si>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</si>
  <si>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</si>
  <si>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</si>
  <si>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</si>
  <si>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</si>
  <si>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</si>
  <si>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</si>
  <si>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</si>
  <si>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</si>
  <si>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</si>
  <si>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</si>
  <si>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</si>
  <si>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</si>
  <si>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</si>
  <si>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</si>
  <si>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</si>
  <si>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</si>
  <si>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</si>
  <si>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</si>
  <si>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</si>
  <si>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</si>
  <si>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</si>
  <si>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</si>
  <si>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</si>
  <si>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</si>
  <si>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</si>
  <si>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</si>
  <si>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</si>
  <si>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</si>
  <si>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</si>
  <si>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</si>
  <si>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</si>
  <si>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</si>
  <si>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</si>
  <si>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</si>
  <si>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</si>
  <si>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</si>
  <si>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</si>
  <si>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</si>
  <si>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</si>
  <si>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</si>
  <si>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Performance Score</t>
  </si>
  <si>
    <t>Manager</t>
  </si>
  <si>
    <t>Rating</t>
  </si>
  <si>
    <t>Sarah Johnson</t>
  </si>
  <si>
    <t>Outstanding</t>
  </si>
  <si>
    <t>Daniel Eze</t>
  </si>
  <si>
    <t>Meets Expectations</t>
  </si>
  <si>
    <t>Grace Okafor</t>
  </si>
  <si>
    <t>Needs Improvement</t>
  </si>
  <si>
    <t>Exceeds Expectations</t>
  </si>
  <si>
    <t>Michael Brown</t>
  </si>
  <si>
    <t>Employee Name</t>
  </si>
  <si>
    <t>Salary (NGN)</t>
  </si>
  <si>
    <t>Bonus (NGN)</t>
  </si>
  <si>
    <t>PAYE Tax (NGN)</t>
  </si>
  <si>
    <t>Samuel Mohammed</t>
  </si>
  <si>
    <t>Oluwaseun Ibrahim</t>
  </si>
  <si>
    <t>Blessing Okafor</t>
  </si>
  <si>
    <t>Peter Obi</t>
  </si>
  <si>
    <t>Kemi Abdullahi</t>
  </si>
  <si>
    <t>Fatima Yusuf</t>
  </si>
  <si>
    <t>Ruth Okafor</t>
  </si>
  <si>
    <t>Abdul Mohammed</t>
  </si>
  <si>
    <t>Emeka Afolabi</t>
  </si>
  <si>
    <t>Abdul Obi</t>
  </si>
  <si>
    <t>David Eze</t>
  </si>
  <si>
    <t>I.T</t>
  </si>
  <si>
    <t>Kemi Umeh</t>
  </si>
  <si>
    <t>Emeka Musa</t>
  </si>
  <si>
    <t>Peter Adeyemi</t>
  </si>
  <si>
    <t>Tunde Ajayi</t>
  </si>
  <si>
    <t>Chinedu Ibrahim</t>
  </si>
  <si>
    <t>Chioma Yusuf</t>
  </si>
  <si>
    <t>Fatima Bello</t>
  </si>
  <si>
    <t>Fatima Balogun</t>
  </si>
  <si>
    <t>Chioma Bello</t>
  </si>
  <si>
    <t>Chioma Ibrahim</t>
  </si>
  <si>
    <t>Ibrahim Akinola</t>
  </si>
  <si>
    <t>Tunde Nwosu</t>
  </si>
  <si>
    <t>Joy Balogun</t>
  </si>
  <si>
    <t>Ngozi Umeh</t>
  </si>
  <si>
    <t>Kemi Okafor</t>
  </si>
  <si>
    <t>Ibrahim Musa</t>
  </si>
  <si>
    <t>Maryam Eze</t>
  </si>
  <si>
    <t>Samuel Akinola</t>
  </si>
  <si>
    <t>Oluwaseun Nwosu</t>
  </si>
  <si>
    <t>Abdul Ibrahim</t>
  </si>
  <si>
    <t>Fatima Abdullahi</t>
  </si>
  <si>
    <t>Samuel Yusuf</t>
  </si>
  <si>
    <t>Blessing Bello</t>
  </si>
  <si>
    <t>Tunde Okoro</t>
  </si>
  <si>
    <t>Joy Ajayi</t>
  </si>
  <si>
    <t>Chioma Obi</t>
  </si>
  <si>
    <t>Esther Lawal</t>
  </si>
  <si>
    <t>Kemi Eze</t>
  </si>
  <si>
    <t>Fatima Onyeka</t>
  </si>
  <si>
    <t>Ruth Musa</t>
  </si>
  <si>
    <t>Esther Balogun</t>
  </si>
  <si>
    <t>Chinedu Eze</t>
  </si>
  <si>
    <t>Ruth Abdullahi</t>
  </si>
  <si>
    <t>Chinedu Abdullahi</t>
  </si>
  <si>
    <t>Emeka Okafor</t>
  </si>
  <si>
    <t>Fatima Ojo</t>
  </si>
  <si>
    <t>Ngozi Ojo</t>
  </si>
  <si>
    <t>Chioma Ajayi</t>
  </si>
  <si>
    <t>Samuel Okafor</t>
  </si>
  <si>
    <t>Ngozi Bello</t>
  </si>
  <si>
    <t>Kemi Afolabi</t>
  </si>
  <si>
    <t>Peter Akinola</t>
  </si>
  <si>
    <t>Chinedu Obi</t>
  </si>
  <si>
    <t>Adebayo Mohammed</t>
  </si>
  <si>
    <t>Tunde Mohammed</t>
  </si>
  <si>
    <t>Joy Nwosu</t>
  </si>
  <si>
    <t>Maryam Bello</t>
  </si>
  <si>
    <t>Zainab Okafor</t>
  </si>
  <si>
    <t>Oluwaseun Mohammed</t>
  </si>
  <si>
    <t>Esther Adeyemi</t>
  </si>
  <si>
    <t>Oluwaseun Okafor</t>
  </si>
  <si>
    <t>Adebayo Abdullahi</t>
  </si>
  <si>
    <t>Ibrahim Nwosu</t>
  </si>
  <si>
    <t>Oluwaseun Abdullahi</t>
  </si>
  <si>
    <t>Zainab Onyeka</t>
  </si>
  <si>
    <t>Samuel Balogun</t>
  </si>
  <si>
    <t>Maryam Adeyemi</t>
  </si>
  <si>
    <t>Maryam Lawal</t>
  </si>
  <si>
    <t>Ibrahim Okafor</t>
  </si>
  <si>
    <t>Emeka Umeh</t>
  </si>
  <si>
    <t>Ruth Lawal</t>
  </si>
  <si>
    <t>Blessing Obi</t>
  </si>
  <si>
    <t>Joy Adeyemi</t>
  </si>
  <si>
    <t>Maryam Onyeka</t>
  </si>
  <si>
    <t>Ruth Ojo</t>
  </si>
  <si>
    <t>Adebayo Umeh</t>
  </si>
  <si>
    <t>Peter Nwosu</t>
  </si>
  <si>
    <t>Fatima Umeh</t>
  </si>
  <si>
    <t>Oluwaseun Akinola</t>
  </si>
  <si>
    <t>Abdul Umeh</t>
  </si>
  <si>
    <t>Oluwaseun Musa</t>
  </si>
  <si>
    <t>Joy Mohammed</t>
  </si>
  <si>
    <t>Chinedu Lawal</t>
  </si>
  <si>
    <t>David Umeh</t>
  </si>
  <si>
    <t>Ngozi Eze</t>
  </si>
  <si>
    <t>Ngozi Nwosu</t>
  </si>
  <si>
    <t>Fatima Okafor</t>
  </si>
  <si>
    <t>Fatima Ibrahim</t>
  </si>
  <si>
    <t>Fatima Eze</t>
  </si>
  <si>
    <t>NA</t>
  </si>
  <si>
    <t>Abdul Afolabi</t>
  </si>
  <si>
    <t>Chinedu Nwosu</t>
  </si>
  <si>
    <t>Zainab Ibrahim</t>
  </si>
  <si>
    <t>Ibrahim Abdullahi</t>
  </si>
  <si>
    <t>Ngozi Obi</t>
  </si>
  <si>
    <t>Chinedu Mohammed</t>
  </si>
  <si>
    <t>Adebayo Obi</t>
  </si>
  <si>
    <t>Fatima Afolabi</t>
  </si>
  <si>
    <t>Chioma Onyeka</t>
  </si>
  <si>
    <t>Emeka Ibrahim</t>
  </si>
  <si>
    <t>Chinedu Musa</t>
  </si>
  <si>
    <t>Oluwaseun Eze</t>
  </si>
  <si>
    <t>Ruth Nwosu</t>
  </si>
  <si>
    <t>Ngozi Ajayi</t>
  </si>
  <si>
    <t>Fatima Musa</t>
  </si>
  <si>
    <t>Adebayo Okafor</t>
  </si>
  <si>
    <t>Emeka Lawal</t>
  </si>
  <si>
    <t>Tunde Abdullahi</t>
  </si>
  <si>
    <t>Peter Eze</t>
  </si>
  <si>
    <t>Chioma Eze</t>
  </si>
  <si>
    <t>Ngozi Mohammed</t>
  </si>
  <si>
    <t>Kemi Yusuf</t>
  </si>
  <si>
    <t>Tunde Ojo</t>
  </si>
  <si>
    <t>Ngozi Yusuf</t>
  </si>
  <si>
    <t>Ngozi Lawal</t>
  </si>
  <si>
    <t>Ibrahim Adeyemi</t>
  </si>
  <si>
    <t>Emeka Eze</t>
  </si>
  <si>
    <t>Ngozi Ibrahim</t>
  </si>
  <si>
    <t>Zainab Ojo</t>
  </si>
  <si>
    <t>Maryam Akinola</t>
  </si>
  <si>
    <t>Adebayo Adeyemi</t>
  </si>
  <si>
    <t>David Onyeka</t>
  </si>
  <si>
    <t>Chioma Okoro</t>
  </si>
  <si>
    <t>Chioma Afolabi</t>
  </si>
  <si>
    <t>Fatima Okoro</t>
  </si>
  <si>
    <t>Tunde Onyeka</t>
  </si>
  <si>
    <t>Ibrahim Ajayi</t>
  </si>
  <si>
    <t>Tunde Bello</t>
  </si>
  <si>
    <t>Joy Ibrahim</t>
  </si>
  <si>
    <t>Blessing Mohammed</t>
  </si>
  <si>
    <t>Blessing Adeyemi</t>
  </si>
  <si>
    <t>Fatima Lawal</t>
  </si>
  <si>
    <t>Samuel Abdullahi</t>
  </si>
  <si>
    <t>David Ojo</t>
  </si>
  <si>
    <t>Blessing Afolabi</t>
  </si>
  <si>
    <t>Blessing Yusuf</t>
  </si>
  <si>
    <t>Maryam Abdullahi</t>
  </si>
  <si>
    <t>Fatima Adeyemi</t>
  </si>
  <si>
    <t>Adebayo Eze</t>
  </si>
  <si>
    <t>Kemi Mohammed</t>
  </si>
  <si>
    <t>Ruth Umeh</t>
  </si>
  <si>
    <t>David Akinola</t>
  </si>
  <si>
    <t>Emeka Mohammed</t>
  </si>
  <si>
    <t>Adebayo Yusuf</t>
  </si>
  <si>
    <t>David Okafor</t>
  </si>
  <si>
    <t>David Lawal</t>
  </si>
  <si>
    <t>Zainab Adeyemi</t>
  </si>
  <si>
    <t>David Mohammed</t>
  </si>
  <si>
    <t>Tunde Balogun</t>
  </si>
  <si>
    <t>Kemi Okoro</t>
  </si>
  <si>
    <t>Emeka Onyeka</t>
  </si>
  <si>
    <t>Peter Bello</t>
  </si>
  <si>
    <t>Joy Abdullahi</t>
  </si>
  <si>
    <t>Tunde Umeh</t>
  </si>
  <si>
    <t>Ibrahim Balogun</t>
  </si>
  <si>
    <t>Adebayo Ojo</t>
  </si>
  <si>
    <t>Zainab Afolabi</t>
  </si>
  <si>
    <t>Zainab Yusuf</t>
  </si>
  <si>
    <t>Kemi Akinola</t>
  </si>
  <si>
    <t>Kemi Ajayi</t>
  </si>
  <si>
    <t>Zainab Mohammed</t>
  </si>
  <si>
    <t>Kemi Balogun</t>
  </si>
  <si>
    <t>David Abdullahi</t>
  </si>
  <si>
    <t>Tunde Akinola</t>
  </si>
  <si>
    <t>Abdul Onyeka</t>
  </si>
  <si>
    <t>Abdul Adeyemi</t>
  </si>
  <si>
    <t>Oluwaseun Ajayi</t>
  </si>
  <si>
    <t>Ibrahim Okoro</t>
  </si>
  <si>
    <t>David Yusuf</t>
  </si>
  <si>
    <t>Esther Nwosu</t>
  </si>
  <si>
    <t>Peter Yusuf</t>
  </si>
  <si>
    <t>Blessing Eze</t>
  </si>
  <si>
    <t>Joy Ojo</t>
  </si>
  <si>
    <t>Abdul Musa</t>
  </si>
  <si>
    <t>Maryam Ibrahim</t>
  </si>
  <si>
    <t>Samuel Onyeka</t>
  </si>
  <si>
    <t>Joy Okafor</t>
  </si>
  <si>
    <t>Chinedu Afolabi</t>
  </si>
  <si>
    <t>Ibrahim Onyeka</t>
  </si>
  <si>
    <t>Chinedu Ojo</t>
  </si>
  <si>
    <t>Kemi Bello</t>
  </si>
  <si>
    <t>Tunde Lawal</t>
  </si>
  <si>
    <t>Fatima Mohammed</t>
  </si>
  <si>
    <t>Emeka Nwosu</t>
  </si>
  <si>
    <t>Maryam Nwosu</t>
  </si>
  <si>
    <t>Ruth Adeyemi</t>
  </si>
  <si>
    <t>Ruth Mohammed</t>
  </si>
  <si>
    <t>Chinedu Balogun</t>
  </si>
  <si>
    <t>Esther Okafor</t>
  </si>
  <si>
    <t>Maryam Balogun</t>
  </si>
  <si>
    <t>Fatima Akinola</t>
  </si>
  <si>
    <t>Tunde Adeyemi</t>
  </si>
  <si>
    <t>Adebayo Akinola</t>
  </si>
  <si>
    <t>Fatima Ajayi</t>
  </si>
  <si>
    <t>Chinedu Onyeka</t>
  </si>
  <si>
    <t>Ruth Okoro</t>
  </si>
  <si>
    <t>Emeka Adeyemi</t>
  </si>
  <si>
    <t>Joy Yusuf</t>
  </si>
  <si>
    <t>Esther Akinola</t>
  </si>
  <si>
    <t>Oluwaseun Lawal</t>
  </si>
  <si>
    <t>Adebayo Lawal</t>
  </si>
  <si>
    <t>Ngozi Onyeka</t>
  </si>
  <si>
    <t>Oluwaseun Onyeka</t>
  </si>
  <si>
    <t>David Okoro</t>
  </si>
  <si>
    <t>Chinedu Okoro</t>
  </si>
  <si>
    <t>Ibrahim Obi</t>
  </si>
  <si>
    <t>Samuel Umeh</t>
  </si>
  <si>
    <t>Kemi Nwosu</t>
  </si>
  <si>
    <t>Abdul Nwosu</t>
  </si>
  <si>
    <t>Esther Abdullahi</t>
  </si>
  <si>
    <t>Ngozi Okoro</t>
  </si>
  <si>
    <t>Joy Okoro</t>
  </si>
  <si>
    <t>Samuel Obi</t>
  </si>
  <si>
    <t>Abdul Okafor</t>
  </si>
  <si>
    <t>Chioma Akinola</t>
  </si>
  <si>
    <t>Blessing Ojo</t>
  </si>
  <si>
    <t>Chioma Lawal</t>
  </si>
  <si>
    <t>Maryam Musa</t>
  </si>
  <si>
    <t>Samuel Bello</t>
  </si>
  <si>
    <t>Peter Balogun</t>
  </si>
  <si>
    <t>Esther Musa</t>
  </si>
  <si>
    <t>Zainab Bello</t>
  </si>
  <si>
    <t>Maryam Okafor</t>
  </si>
  <si>
    <t>Ibrahim Ojo</t>
  </si>
  <si>
    <t>Zainab Okoro</t>
  </si>
  <si>
    <t>Emeka Yusuf</t>
  </si>
  <si>
    <t>Peter Afolabi</t>
  </si>
  <si>
    <t>Ruth Bello</t>
  </si>
  <si>
    <t>Ngozi Okafor</t>
  </si>
  <si>
    <t>Emeka Ajayi</t>
  </si>
  <si>
    <t>Peter Onyeka</t>
  </si>
  <si>
    <t>Chioma Abdullahi</t>
  </si>
  <si>
    <t>Ruth Eze</t>
  </si>
  <si>
    <t>Ruth Balogun</t>
  </si>
  <si>
    <t>Ngozi Balogun</t>
  </si>
  <si>
    <t>Adebayo Okoro</t>
  </si>
  <si>
    <t>Blessing Lawal</t>
  </si>
  <si>
    <t>Blessing Abdullahi</t>
  </si>
  <si>
    <t>Samuel Musa</t>
  </si>
  <si>
    <t>Samuel Ibrahim</t>
  </si>
  <si>
    <t>Esther Okoro</t>
  </si>
  <si>
    <t>Adebayo Bello</t>
  </si>
  <si>
    <t>Ibrahim Umeh</t>
  </si>
  <si>
    <t>Abdul Ajayi</t>
  </si>
  <si>
    <t>Oluwaseun Adeyemi</t>
  </si>
  <si>
    <t>Tunde Okafor</t>
  </si>
  <si>
    <t>Samuel Ojo</t>
  </si>
  <si>
    <t>Ruth Onyeka</t>
  </si>
  <si>
    <t>Ruth Afolabi</t>
  </si>
  <si>
    <t>Peter Lawal</t>
  </si>
  <si>
    <t>Peter Ojo</t>
  </si>
  <si>
    <t>Peter Okafor</t>
  </si>
  <si>
    <t>Chioma Ojo</t>
  </si>
  <si>
    <t>Joy Bello</t>
  </si>
  <si>
    <t>Joy Obi</t>
  </si>
  <si>
    <t>Zainab Umeh</t>
  </si>
  <si>
    <t>Ruth Ibrahim</t>
  </si>
  <si>
    <t>Samuel Okoro</t>
  </si>
  <si>
    <t>Peter Musa</t>
  </si>
  <si>
    <t>Chioma Balogun</t>
  </si>
  <si>
    <t>Peter Abdullahi</t>
  </si>
  <si>
    <t>Samuel Ajayi</t>
  </si>
  <si>
    <t>Blessing Okoro</t>
  </si>
  <si>
    <t>Chioma Umeh</t>
  </si>
  <si>
    <t>Blessing Balogun</t>
  </si>
  <si>
    <t>Chioma Mohammed</t>
  </si>
  <si>
    <t>Chinedu Ajayi</t>
  </si>
  <si>
    <t>Emeka Ojo</t>
  </si>
  <si>
    <t>Fatima Nwosu</t>
  </si>
  <si>
    <t>Oluwaseun Ojo</t>
  </si>
  <si>
    <t>Zainab Balogun</t>
  </si>
  <si>
    <t>Peter Ajayi</t>
  </si>
  <si>
    <t>Chioma Musa</t>
  </si>
  <si>
    <t>Chioma Okafor</t>
  </si>
  <si>
    <t>Abdul Abdullahi</t>
  </si>
  <si>
    <t>Chioma Nwosu</t>
  </si>
  <si>
    <t>Abdul Akinola</t>
  </si>
  <si>
    <t>Blessing Ibrahim</t>
  </si>
  <si>
    <t>Ibrahim Bello</t>
  </si>
  <si>
    <t>Ruth Obi</t>
  </si>
  <si>
    <t>Abdul Balogun</t>
  </si>
  <si>
    <t>Peter Mohammed</t>
  </si>
  <si>
    <t>Ngozi Adeyemi</t>
  </si>
  <si>
    <t>Abdul Ojo</t>
  </si>
  <si>
    <t>Emeka Abdullahi</t>
  </si>
  <si>
    <t>Kemi Musa</t>
  </si>
  <si>
    <t>Chinedu Adeyemi</t>
  </si>
  <si>
    <t>Ngozi Akinola</t>
  </si>
  <si>
    <t>Ibrahim Mohammed</t>
  </si>
  <si>
    <t>Samuel Adeyemi</t>
  </si>
  <si>
    <t>Maryam Umeh</t>
  </si>
  <si>
    <t>David Adeyemi</t>
  </si>
  <si>
    <t>Blessing Onyeka</t>
  </si>
  <si>
    <t>Abdul Lawal</t>
  </si>
  <si>
    <t>Maryam Mohammed</t>
  </si>
  <si>
    <t>Kemi Adeyemi</t>
  </si>
  <si>
    <t>Peter Okoro</t>
  </si>
  <si>
    <t>Ruth Akinola</t>
  </si>
  <si>
    <t>David Ibrahim</t>
  </si>
  <si>
    <t>Kemi Ojo</t>
  </si>
  <si>
    <t>Esther Ibrahim</t>
  </si>
  <si>
    <t>Blessing Umeh</t>
  </si>
  <si>
    <t>Tunde Eze</t>
  </si>
  <si>
    <t>Esther Onyeka</t>
  </si>
  <si>
    <t>Esther Mohammed</t>
  </si>
  <si>
    <t>Adebayo Nwosu</t>
  </si>
  <si>
    <t>Zainab Ajayi</t>
  </si>
  <si>
    <t>Ngozi Afolabi</t>
  </si>
  <si>
    <t>Oluwaseun Bello</t>
  </si>
  <si>
    <t>Maryam Afolabi</t>
  </si>
  <si>
    <t>Tunde Yusuf</t>
  </si>
  <si>
    <t>Kemi Lawal</t>
  </si>
  <si>
    <t>Joy Afolabi</t>
  </si>
  <si>
    <t>Emeka Balogun</t>
  </si>
  <si>
    <t>Tunde Obi</t>
  </si>
  <si>
    <t>Ngozi Abdullahi</t>
  </si>
  <si>
    <t>Adebayo Balogun</t>
  </si>
  <si>
    <t>Joy Eze</t>
  </si>
  <si>
    <t>Adebayo Afolabi</t>
  </si>
  <si>
    <t>Samuel Lawal</t>
  </si>
  <si>
    <t>Oluwaseun Yusuf</t>
  </si>
  <si>
    <t>David Balogun</t>
  </si>
  <si>
    <t>Esther Bello</t>
  </si>
  <si>
    <t>Blessing Musa</t>
  </si>
  <si>
    <t>Emeka Okoro</t>
  </si>
  <si>
    <t>Adebayo Musa</t>
  </si>
  <si>
    <t>Abdul Okoro</t>
  </si>
  <si>
    <t>Zainab Nwosu</t>
  </si>
  <si>
    <t>Chinedu Bello</t>
  </si>
  <si>
    <t>Maryam Obi</t>
  </si>
  <si>
    <t>Blessing Ajayi</t>
  </si>
  <si>
    <t>Oluwaseun Balogun</t>
  </si>
  <si>
    <t>Ngozi Musa</t>
  </si>
  <si>
    <t>Zainab Abdullahi</t>
  </si>
  <si>
    <t>Esther Obi</t>
  </si>
  <si>
    <t>Ibrahim Afolabi</t>
  </si>
  <si>
    <t>Samuel Nwosu</t>
  </si>
  <si>
    <t>Ruth Ajayi</t>
  </si>
  <si>
    <t>Ibrahim Yusuf</t>
  </si>
  <si>
    <t>Abdul Bello</t>
  </si>
  <si>
    <t>David Ajayi</t>
  </si>
  <si>
    <t>Zainab Lawal</t>
  </si>
  <si>
    <t>Oluwaseun Umeh</t>
  </si>
  <si>
    <t>Oluwaseun Okoro</t>
  </si>
  <si>
    <t>Abdul Eze</t>
  </si>
  <si>
    <t>Kemi Ibrahim</t>
  </si>
  <si>
    <t>Ibrahim Ibrahim</t>
  </si>
  <si>
    <t>Ibrahim Lawal</t>
  </si>
  <si>
    <t>David Bello</t>
  </si>
  <si>
    <t>Kemi Obi</t>
  </si>
  <si>
    <t>Emeka Akinola</t>
  </si>
  <si>
    <t>Peter Umeh</t>
  </si>
  <si>
    <t>Emeka Obi</t>
  </si>
  <si>
    <t>Joy Lawal</t>
  </si>
  <si>
    <t>Samuel Eze</t>
  </si>
  <si>
    <t>Esther Ajayi</t>
  </si>
  <si>
    <t>Ibrahim Eze</t>
  </si>
  <si>
    <t>Abdul Yusuf</t>
  </si>
  <si>
    <t>Joy Musa</t>
  </si>
  <si>
    <t>Tunde Ibrahim</t>
  </si>
  <si>
    <t>Maryam Ajayi</t>
  </si>
  <si>
    <t>Joy Akinola</t>
  </si>
  <si>
    <t>Adebayo Onyeka</t>
  </si>
  <si>
    <t>Samuel Afolabi</t>
  </si>
  <si>
    <t>Adebayo Ibrahim</t>
  </si>
  <si>
    <t>Kemi Onyeka</t>
  </si>
  <si>
    <t>Tunde Afolabi</t>
  </si>
  <si>
    <t>Chinedu Umeh</t>
  </si>
  <si>
    <t>Emeka Bello</t>
  </si>
  <si>
    <t>Fatima Obi</t>
  </si>
  <si>
    <t>Esther Ojo</t>
  </si>
  <si>
    <t>Joy Umeh</t>
  </si>
  <si>
    <t>Esther Afolabi</t>
  </si>
  <si>
    <t>Esther Yusuf</t>
  </si>
  <si>
    <t>Zainab Akinola</t>
  </si>
  <si>
    <t>Chinedu Okafor</t>
  </si>
  <si>
    <t>Zainab Musa</t>
  </si>
  <si>
    <t>Chioma Adeyemi</t>
  </si>
  <si>
    <t>EMPX999</t>
  </si>
  <si>
    <t>John Test</t>
  </si>
  <si>
    <t>Total Leave Days</t>
  </si>
  <si>
    <t>Number of Leave Request</t>
  </si>
  <si>
    <t>Total Attendance Records</t>
  </si>
  <si>
    <t>Total Hours Worked</t>
  </si>
  <si>
    <t>Attendance Rate</t>
  </si>
  <si>
    <t>Not Assigned</t>
  </si>
  <si>
    <t>Not Reviewed</t>
  </si>
  <si>
    <t>Count of EmployeeID</t>
  </si>
  <si>
    <t>Row Labels</t>
  </si>
  <si>
    <t>Grand Total</t>
  </si>
  <si>
    <t>Total Employees</t>
  </si>
  <si>
    <t>Total Payroll</t>
  </si>
  <si>
    <t>Average of Salary (NGN)</t>
  </si>
  <si>
    <t>Attendance Rates</t>
  </si>
  <si>
    <t>Average of Attendance Rate</t>
  </si>
  <si>
    <t>Sum of Total Leave Days</t>
  </si>
  <si>
    <t>Sum of Performance Score</t>
  </si>
  <si>
    <t>Average of Performance Score</t>
  </si>
  <si>
    <t>last refreshed</t>
  </si>
  <si>
    <t>Last Refresh:</t>
  </si>
  <si>
    <r>
      <rPr>
        <b/>
        <sz val="14"/>
        <color theme="0"/>
        <rFont val="Calibri"/>
        <family val="2"/>
        <scheme val="minor"/>
      </rPr>
      <t>HR Workforce Analytics &amp; Employee Performance Dashboard</t>
    </r>
    <r>
      <rPr>
        <b/>
        <sz val="11"/>
        <color theme="0"/>
        <rFont val="Calibri"/>
        <family val="2"/>
        <scheme val="minor"/>
      </rPr>
      <t xml:space="preserve"> 
</t>
    </r>
    <r>
      <rPr>
        <b/>
        <sz val="9"/>
        <color theme="0"/>
        <rFont val="Calibri"/>
        <family val="2"/>
        <scheme val="minor"/>
      </rPr>
      <t>Executive Overview | Payroll • Attendance • Leave • Performance</t>
    </r>
  </si>
  <si>
    <t>Assumptions (editable):</t>
  </si>
  <si>
    <t>Attendance Rate Target</t>
  </si>
  <si>
    <t>Performance Score Target</t>
  </si>
  <si>
    <t>TOTAL EMPLOYEES</t>
  </si>
  <si>
    <t>TOTAL PAYROLL (₦)</t>
  </si>
  <si>
    <t>TOTAL BONUS PAID (₦)</t>
  </si>
  <si>
    <t>TOTAL PAYE TAX (₦)</t>
  </si>
  <si>
    <t>TOTAL LEAVE DAYS</t>
  </si>
  <si>
    <t>AVG ATTENDANCE RATE</t>
  </si>
  <si>
    <t>AVG PERFORMANCE SCORE (reviewed)</t>
  </si>
  <si>
    <t>NEW HIRES PENDING REVIEW</t>
  </si>
  <si>
    <t>EMPLOYEES W/O MANAGER</t>
  </si>
  <si>
    <t>DEPT. UNSPECIFIED</t>
  </si>
  <si>
    <t>SUPPORTING DATA TABLES (chart source — do not delete)</t>
  </si>
  <si>
    <t>Headcount</t>
  </si>
  <si>
    <t>Total Salary (₦)</t>
  </si>
  <si>
    <t>Avg Salary (₦)</t>
  </si>
  <si>
    <t>Avg Attendance Rate</t>
  </si>
  <si>
    <t>Avg Performance (reviewed)</t>
  </si>
  <si>
    <t>Total</t>
  </si>
  <si>
    <t>Count</t>
  </si>
  <si>
    <t>% of Total</t>
  </si>
  <si>
    <t>⚠ LEGACY WORKING SHEET — kept for audit trail only. C6 has a typo ("Total Leave Dayss"). The pivot block at D34:E40 is stale/mis-scoped (grouped by individual name, not Manager) and does not reconcile to the 1,001 employee total. "Average of Performance Score" at E7 (54.0) includes 301 unreviewed hires scored 0 and understates true performance. Use the Dashboard tab for verified, reconciled figures.</t>
  </si>
  <si>
    <t>FILTERS</t>
  </si>
  <si>
    <t>SortKey</t>
  </si>
  <si>
    <t>Avg Salary</t>
  </si>
  <si>
    <t>Target</t>
  </si>
  <si>
    <t>Avg Performance</t>
  </si>
  <si>
    <t>All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</si>
</sst>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46A]#,##0"/>
    <numFmt numFmtId="166" formatCode="\₦#,##0"/>
    <numFmt numFmtId="167" formatCode="0.0%"/>
    <numFmt numFmtId="168" formatCode="\₦#,##0;\(\₦#,##0\);&quot;-&quot;"/>
    <numFmt numFmtId="171" formatCode="[Green]\+0.0%;[Red]\-0.0%"/>
    <numFmt numFmtId="172" formatCode="[Green]\+0.0;[Red]\-0.0"/>
    <numFmt numFmtId="174" formatCode="0.0%&quot; of workforce&quot;"/>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4"/>
      <color theme="0"/>
      <name val="Calibri"/>
      <family val="2"/>
      <scheme val="minor"/>
    </font>
    <font>
      <b/>
      <sz val="9"/>
      <color theme="0"/>
      <name val="Calibri"/>
      <family val="2"/>
      <scheme val="minor"/>
    </font>
    <font>
      <b/>
      <sz val="11"/>
      <color theme="1"/>
      <name val="Calibri"/>
      <family val="2"/>
      <scheme val="minor"/>
    </font>
    <font>
      <b/>
      <sz val="12"/>
      <color rgb="FFFFFFFF"/>
      <name val="Calibri"/>
      <family val="2"/>
      <scheme val="minor"/>
    </font>
    <font>
      <i/>
      <sz val="9"/>
      <color rgb="FF6B7280"/>
      <name val="Calibri"/>
      <family val="2"/>
      <scheme val="minor"/>
    </font>
    <font>
      <b/>
      <sz val="11"/>
      <color rgb="FF0000FF"/>
      <name val="Calibri"/>
      <family val="2"/>
      <scheme val="minor"/>
    </font>
    <font>
      <b/>
      <i/>
      <sz val="10"/>
      <color rgb="FFB45309"/>
      <name val="Calibri"/>
      <family val="2"/>
      <scheme val="minor"/>
    </font>
    <font>
      <b/>
      <sz val="9"/>
      <color rgb="FF6B7280"/>
      <name val="Calibri"/>
      <family val="2"/>
      <scheme val="minor"/>
    </font>
    <font>
      <i/>
      <sz val="9"/>
      <color theme="1"/>
      <name val="Calibri"/>
      <family val="2"/>
      <scheme val="minor"/>
    </font>
    <font>
      <b/>
      <sz val="18"/>
      <color rgb="FF008000"/>
      <name val="Calibri"/>
      <family val="2"/>
      <scheme val="minor"/>
    </font>
    <font>
      <i/>
      <sz val="9"/>
      <color rgb="FFB45309"/>
      <name val="Calibri"/>
      <family val="2"/>
      <scheme val="minor"/>
    </font>
    <font>
      <b/>
      <sz val="10"/>
      <color theme="1"/>
      <name val="Calibri"/>
      <family val="2"/>
      <scheme val="minor"/>
    </font>
    <font>
      <sz val="11"/>
      <color rgb="FF008000"/>
      <name val="Calibri"/>
      <family val="2"/>
      <scheme val="minor"/>
    </font>
    <font>
      <sz val="10"/>
      <color theme="1"/>
      <name val="Calibri"/>
      <family val="2"/>
      <scheme val="minor"/>
    </font>
    <font>
      <b/>
      <sz val="10"/>
      <color rgb="FF1E293B"/>
      <name val="Calibri"/>
      <family val="2"/>
      <scheme val="minor"/>
    </font>
  </fonts>
  <fills count="13">
    <fill>
      <patternFill patternType="none"/>
    </fill>
    <fill>
      <patternFill patternType="gray125"/>
    </fill>
    <fill>
      <patternFill patternType="solid">
        <fgColor theme="1"/>
        <bgColor indexed="64"/>
      </patternFill>
    </fill>
    <fill>
      <patternFill patternType="solid">
        <fgColor rgb="FF1F2937"/>
        <bgColor indexed="64"/>
      </patternFill>
    </fill>
    <fill>
      <patternFill patternType="solid">
        <fgColor rgb="FFFFFFF0"/>
        <bgColor indexed="64"/>
      </patternFill>
    </fill>
    <fill>
      <patternFill patternType="solid">
        <fgColor rgb="FFF3F4F6"/>
        <bgColor indexed="64"/>
      </patternFill>
    </fill>
    <fill>
      <patternFill patternType="solid">
        <fgColor rgb="FFF9FAFB"/>
        <bgColor indexed="64"/>
      </patternFill>
    </fill>
    <fill>
      <patternFill patternType="solid">
        <fgColor rgb="FFE5E7EB"/>
        <bgColor indexed="64"/>
      </patternFill>
    </fill>
    <fill>
      <patternFill patternType="solid">
        <fgColor rgb="FFFEF3C7"/>
        <bgColor indexed="64"/>
      </patternFill>
    </fill>
    <fill>
      <patternFill patternType="solid">
        <fgColor rgb="FFEFF6FF"/>
        <bgColor indexed="64"/>
      </patternFill>
    </fill>
    <fill>
      <patternFill patternType="solid">
        <fgColor rgb="FFDCFCE7"/>
        <bgColor indexed="64"/>
      </patternFill>
    </fill>
    <fill>
      <patternFill patternType="solid">
        <fgColor rgb="FFFFFFFF"/>
        <bgColor indexed="64"/>
      </patternFill>
    </fill>
    <fill>
      <patternFill patternType="solid">
        <fgColor rgb="FFF1F5F9"/>
        <bgColor indexed="64"/>
      </patternFill>
    </fill>
  </fills>
  <borders count="5">
    <border>
      <left/>
      <right/>
      <top/>
      <bottom/>
      <diagonal/>
    </border>
    <border>
      <left style="thin">
        <color rgb="FFD1D5DB"/>
      </left>
      <right/>
      <top style="thin">
        <color rgb="FFD1D5DB"/>
      </top>
      <bottom style="thin">
        <color rgb="FFD1D5DB"/>
      </bottom>
      <diagonal/>
    </border>
    <border>
      <left style="thin">
        <color rgb="FFD1D5DB"/>
      </left>
      <right/>
      <top style="thin">
        <color rgb="FFD1D5DB"/>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s>
  <cellStyleXfs count="2">
    <xf numFmtId="0" fontId="0" fillId="0" borderId="0"/>
    <xf numFmtId="9" fontId="1" fillId="0" borderId="0" applyFont="0" applyFill="0" applyBorder="0" applyAlignment="0" applyProtection="0"/>
  </cellStyleXfs>
  <cellXfs count="71">
    <xf numFmtId="0" fontId="0" fillId="0" borderId="0" xfId="0"/>
    <xf numFmtId="0" fontId="0" fillId="0" borderId="0" xfId="0" applyNumberFormat="1"/>
    <xf numFmtId="9" fontId="0" fillId="0" borderId="0" xfId="1" applyFont="1"/>
    <xf numFmtId="1"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3" fontId="0" fillId="0" borderId="0" xfId="0" applyNumberFormat="1"/>
    <xf numFmtId="166" fontId="0" fillId="0" borderId="0" xfId="0" applyNumberFormat="1"/>
    <xf numFmtId="167" fontId="0" fillId="0" borderId="0" xfId="0" applyNumberFormat="1"/>
    <xf numFmtId="22" fontId="0" fillId="0" borderId="0" xfId="0" applyNumberFormat="1"/>
    <xf numFmtId="0" fontId="2" fillId="3" borderId="0" xfId="0" applyFont="1" applyFill="1" applyAlignment="1">
      <alignment horizontal="center" vertical="top" wrapText="1"/>
    </xf>
    <xf numFmtId="0" fontId="2" fillId="3" borderId="0" xfId="0" applyFont="1" applyFill="1" applyAlignment="1">
      <alignment horizontal="right" wrapText="1"/>
    </xf>
    <xf numFmtId="22" fontId="2" fillId="3" borderId="0" xfId="0" applyNumberFormat="1" applyFont="1" applyFill="1" applyAlignment="1">
      <alignment horizontal="left" vertical="center" wrapText="1"/>
    </xf>
    <xf numFmtId="1" fontId="8" fillId="4" borderId="0" xfId="0" applyNumberFormat="1" applyFont="1" applyFill="1" applyAlignment="1">
      <alignment horizontal="center"/>
    </xf>
    <xf numFmtId="0" fontId="5" fillId="2" borderId="0" xfId="0" applyFont="1" applyFill="1"/>
    <xf numFmtId="0" fontId="9" fillId="0" borderId="0" xfId="0" applyFont="1"/>
    <xf numFmtId="0" fontId="6" fillId="3" borderId="0" xfId="0" applyFont="1" applyFill="1" applyAlignment="1">
      <alignment horizontal="left" vertical="center"/>
    </xf>
    <xf numFmtId="0" fontId="6" fillId="3" borderId="0" xfId="0" applyFont="1" applyFill="1" applyAlignment="1">
      <alignment vertical="center"/>
    </xf>
    <xf numFmtId="0" fontId="7" fillId="5" borderId="0" xfId="0" applyFont="1" applyFill="1"/>
    <xf numFmtId="0" fontId="7" fillId="5" borderId="0" xfId="0" applyFont="1" applyFill="1" applyAlignment="1">
      <alignment horizontal="right"/>
    </xf>
    <xf numFmtId="9" fontId="8" fillId="5" borderId="0" xfId="0" applyNumberFormat="1" applyFont="1" applyFill="1" applyAlignment="1">
      <alignment horizontal="center"/>
    </xf>
    <xf numFmtId="0" fontId="0" fillId="5" borderId="0" xfId="0" applyFill="1" applyAlignment="1"/>
    <xf numFmtId="0" fontId="14" fillId="7" borderId="0" xfId="0" applyFont="1" applyFill="1"/>
    <xf numFmtId="0" fontId="16" fillId="8" borderId="0" xfId="0" applyFont="1" applyFill="1" applyAlignment="1">
      <alignment horizontal="left" vertical="center"/>
    </xf>
    <xf numFmtId="0" fontId="16" fillId="9" borderId="0" xfId="0" applyFont="1" applyFill="1" applyAlignment="1">
      <alignment horizontal="left" vertical="center"/>
    </xf>
    <xf numFmtId="0" fontId="16" fillId="10" borderId="0" xfId="0" applyFont="1" applyFill="1" applyAlignment="1">
      <alignment horizontal="left" vertical="center"/>
    </xf>
    <xf numFmtId="0" fontId="14" fillId="10" borderId="0" xfId="0" applyFont="1" applyFill="1" applyAlignment="1">
      <alignment horizontal="left" vertical="center"/>
    </xf>
    <xf numFmtId="0" fontId="14" fillId="7" borderId="3" xfId="0" applyFont="1" applyFill="1" applyBorder="1"/>
    <xf numFmtId="3" fontId="12" fillId="6" borderId="1" xfId="0" applyNumberFormat="1" applyFont="1" applyFill="1" applyBorder="1" applyAlignment="1">
      <alignment horizontal="center"/>
    </xf>
    <xf numFmtId="3" fontId="12" fillId="6" borderId="3" xfId="0" applyNumberFormat="1" applyFont="1" applyFill="1" applyBorder="1" applyAlignment="1">
      <alignment horizontal="center"/>
    </xf>
    <xf numFmtId="3" fontId="12" fillId="6" borderId="4" xfId="0" applyNumberFormat="1" applyFont="1" applyFill="1" applyBorder="1" applyAlignment="1">
      <alignment horizontal="center"/>
    </xf>
    <xf numFmtId="167" fontId="12" fillId="6" borderId="1" xfId="0" applyNumberFormat="1" applyFont="1" applyFill="1" applyBorder="1" applyAlignment="1">
      <alignment horizontal="center"/>
    </xf>
    <xf numFmtId="167" fontId="12" fillId="6" borderId="3" xfId="0" applyNumberFormat="1" applyFont="1" applyFill="1" applyBorder="1" applyAlignment="1">
      <alignment horizontal="center"/>
    </xf>
    <xf numFmtId="3" fontId="12" fillId="6" borderId="2" xfId="0" applyNumberFormat="1" applyFont="1" applyFill="1" applyBorder="1" applyAlignment="1">
      <alignment horizontal="center"/>
    </xf>
    <xf numFmtId="168" fontId="12" fillId="6" borderId="4" xfId="0" applyNumberFormat="1" applyFont="1" applyFill="1" applyBorder="1" applyAlignment="1">
      <alignment horizontal="center"/>
    </xf>
    <xf numFmtId="164" fontId="12" fillId="6" borderId="1" xfId="0" applyNumberFormat="1" applyFont="1" applyFill="1" applyBorder="1" applyAlignment="1">
      <alignment horizontal="center"/>
    </xf>
    <xf numFmtId="164" fontId="12" fillId="6" borderId="3" xfId="0" applyNumberFormat="1" applyFont="1" applyFill="1" applyBorder="1" applyAlignment="1">
      <alignment horizontal="center"/>
    </xf>
    <xf numFmtId="168" fontId="12" fillId="6" borderId="2" xfId="0" applyNumberFormat="1" applyFont="1" applyFill="1" applyBorder="1" applyAlignment="1">
      <alignment horizontal="center"/>
    </xf>
    <xf numFmtId="0" fontId="0" fillId="0" borderId="0" xfId="0" applyFill="1"/>
    <xf numFmtId="0" fontId="0" fillId="0" borderId="0" xfId="0" applyFill="1" applyAlignment="1"/>
    <xf numFmtId="0" fontId="0" fillId="0" borderId="3" xfId="0" applyFill="1" applyBorder="1"/>
    <xf numFmtId="3" fontId="15" fillId="0" borderId="3" xfId="0" applyNumberFormat="1" applyFont="1" applyFill="1" applyBorder="1"/>
    <xf numFmtId="168" fontId="15" fillId="0" borderId="3" xfId="0" applyNumberFormat="1" applyFont="1" applyFill="1" applyBorder="1"/>
    <xf numFmtId="167" fontId="15" fillId="0" borderId="3" xfId="0" applyNumberFormat="1" applyFont="1" applyFill="1" applyBorder="1"/>
    <xf numFmtId="164" fontId="15" fillId="0" borderId="3" xfId="0" applyNumberFormat="1" applyFont="1" applyFill="1" applyBorder="1"/>
    <xf numFmtId="0" fontId="15" fillId="0" borderId="0" xfId="0" applyFont="1" applyFill="1"/>
    <xf numFmtId="168" fontId="15" fillId="0" borderId="0" xfId="0" applyNumberFormat="1" applyFont="1" applyFill="1"/>
    <xf numFmtId="167" fontId="15" fillId="0" borderId="0" xfId="0" applyNumberFormat="1" applyFont="1" applyFill="1"/>
    <xf numFmtId="3" fontId="15" fillId="0" borderId="0" xfId="0" applyNumberFormat="1" applyFont="1" applyFill="1"/>
    <xf numFmtId="164" fontId="15" fillId="0" borderId="0" xfId="0" applyNumberFormat="1" applyFont="1" applyFill="1"/>
    <xf numFmtId="0" fontId="5" fillId="0" borderId="3" xfId="0" applyFont="1" applyFill="1" applyBorder="1"/>
    <xf numFmtId="3" fontId="5" fillId="0" borderId="3" xfId="0" applyNumberFormat="1" applyFont="1" applyFill="1" applyBorder="1"/>
    <xf numFmtId="168" fontId="5" fillId="0" borderId="3" xfId="0" applyNumberFormat="1" applyFont="1" applyFill="1" applyBorder="1"/>
    <xf numFmtId="0" fontId="10" fillId="11" borderId="3" xfId="0" applyFont="1" applyFill="1" applyBorder="1" applyAlignment="1">
      <alignment horizontal="center"/>
    </xf>
    <xf numFmtId="0" fontId="10" fillId="11" borderId="1" xfId="0" applyFont="1" applyFill="1" applyBorder="1" applyAlignment="1">
      <alignment horizontal="center"/>
    </xf>
    <xf numFmtId="171" fontId="11" fillId="11" borderId="3" xfId="0" applyNumberFormat="1" applyFont="1" applyFill="1" applyBorder="1" applyAlignment="1">
      <alignment horizontal="center"/>
    </xf>
    <xf numFmtId="171" fontId="11" fillId="11" borderId="1" xfId="0" applyNumberFormat="1" applyFont="1" applyFill="1" applyBorder="1" applyAlignment="1">
      <alignment horizontal="center"/>
    </xf>
    <xf numFmtId="172" fontId="11" fillId="11" borderId="3" xfId="0" applyNumberFormat="1" applyFont="1" applyFill="1" applyBorder="1" applyAlignment="1">
      <alignment horizontal="center"/>
    </xf>
    <xf numFmtId="172" fontId="11" fillId="11" borderId="1" xfId="0" applyNumberFormat="1" applyFont="1" applyFill="1" applyBorder="1" applyAlignment="1">
      <alignment horizontal="center"/>
    </xf>
    <xf numFmtId="174" fontId="13" fillId="11" borderId="3" xfId="0" applyNumberFormat="1" applyFont="1" applyFill="1" applyBorder="1" applyAlignment="1">
      <alignment horizontal="center"/>
    </xf>
    <xf numFmtId="174" fontId="13" fillId="11" borderId="1" xfId="0" applyNumberFormat="1" applyFont="1" applyFill="1" applyBorder="1" applyAlignment="1">
      <alignment horizontal="center"/>
    </xf>
    <xf numFmtId="0" fontId="7" fillId="0" borderId="0" xfId="0" applyFont="1" applyAlignment="1">
      <alignment horizontal="right"/>
    </xf>
    <xf numFmtId="0" fontId="14" fillId="7" borderId="0" xfId="0" applyFont="1" applyFill="1" applyBorder="1"/>
    <xf numFmtId="0" fontId="6" fillId="3" borderId="0" xfId="0" applyFont="1" applyFill="1" applyAlignment="1">
      <alignment vertical="center"/>
    </xf>
    <xf numFmtId="0" fontId="17" fillId="12" borderId="0" xfId="0" applyFont="1" applyFill="1" applyAlignment="1">
      <alignment horizontal="left" vertical="center"/>
    </xf>
    <xf numFmtId="0" fontId="17" fillId="12" borderId="0" xfId="0" applyFont="1" applyFill="1" applyAlignment="1">
      <alignment horizontal="left" vertical="center"/>
    </xf>
    <xf numFmtId="0" fontId="17" fillId="12" borderId="0" xfId="0" applyFont="1" applyFill="1"/>
  </cellXfs>
  <cellStyles count="2">
    <cellStyle name="Normal" xfId="0" builtinId="0"/>
    <cellStyle name="Percent" xfId="1" builtinId="5"/>
  </cellStyles>
  <dxfs count="32">
    <dxf>
      <numFmt numFmtId="0" formatCode="General"/>
    </dxf>
    <dxf>
      <numFmt numFmtId="0" formatCode="General"/>
    </dxf>
    <dxf>
      <numFmt numFmtId="165" formatCode="[$₦-46A]#,##0"/>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13" formatCode="0%"/>
    </dxf>
    <dxf>
      <numFmt numFmtId="0" formatCode="General"/>
    </dxf>
    <dxf>
      <numFmt numFmtId="1" formatCode="0"/>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13" formatCode="0%"/>
    </dxf>
    <dxf>
      <numFmt numFmtId="165" formatCode="[$₦-46A]#,##0"/>
    </dxf>
    <dxf>
      <numFmt numFmtId="0" formatCode="General"/>
    </dxf>
    <dxf>
      <numFmt numFmtId="165" formatCode="[$₦-46A]#,##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64" formatCode="0.0"/>
    </dxf>
    <dxf>
      <numFmt numFmtId="0" formatCode="General"/>
    </dxf>
    <dxf>
      <numFmt numFmtId="0" formatCode="General"/>
    </dxf>
    <dxf>
      <numFmt numFmtId="0" formatCode="General"/>
    </dxf>
  </dxfs>
  <tableStyles count="0" defaultTableStyle="TableStyleMedium2" defaultPivotStyle="PivotStyleLight16"/>
  <colors>
    <mruColors>
      <color rgb="FF1F2937"/>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2563E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Dashboard!$S$67:$S$77</c:f>
              <c:strCache>
                <c:ptCount val="11"/>
                <c:pt idx="0">
                  <c:v>NA</c:v>
                </c:pt>
                <c:pt idx="1">
                  <c:v>Logistics</c:v>
                </c:pt>
                <c:pt idx="2">
                  <c:v>Customer Success</c:v>
                </c:pt>
                <c:pt idx="3">
                  <c:v>Legal</c:v>
                </c:pt>
                <c:pt idx="4">
                  <c:v>Sales</c:v>
                </c:pt>
                <c:pt idx="5">
                  <c:v>I.T</c:v>
                </c:pt>
                <c:pt idx="6">
                  <c:v>Human Resources</c:v>
                </c:pt>
                <c:pt idx="7">
                  <c:v>Finance</c:v>
                </c:pt>
                <c:pt idx="8">
                  <c:v>Operations</c:v>
                </c:pt>
                <c:pt idx="9">
                  <c:v>Procurement</c:v>
                </c:pt>
                <c:pt idx="10">
                  <c:v>Marketing</c:v>
                </c:pt>
              </c:strCache>
            </c:strRef>
          </c:cat>
          <c:val>
            <c:numRef>
              <c:f>Dashboard!$T$67:$T$77</c:f>
              <c:numCache>
                <c:formatCode>General</c:formatCode>
                <c:ptCount val="11"/>
                <c:pt idx="0">
                  <c:v>27</c:v>
                </c:pt>
                <c:pt idx="1">
                  <c:v>73</c:v>
                </c:pt>
                <c:pt idx="2">
                  <c:v>84</c:v>
                </c:pt>
                <c:pt idx="3">
                  <c:v>89</c:v>
                </c:pt>
                <c:pt idx="4">
                  <c:v>93</c:v>
                </c:pt>
                <c:pt idx="5">
                  <c:v>95</c:v>
                </c:pt>
                <c:pt idx="6">
                  <c:v>98</c:v>
                </c:pt>
                <c:pt idx="7">
                  <c:v>106</c:v>
                </c:pt>
                <c:pt idx="8">
                  <c:v>110</c:v>
                </c:pt>
                <c:pt idx="9">
                  <c:v>112</c:v>
                </c:pt>
                <c:pt idx="10">
                  <c:v>114</c:v>
                </c:pt>
              </c:numCache>
            </c:numRef>
          </c:val>
          <c:extLst>
            <c:ext xmlns:c16="http://schemas.microsoft.com/office/drawing/2014/chart" uri="{C3380CC4-5D6E-409C-BE32-E72D297353CC}">
              <c16:uniqueId val="{00000000-C8AD-41E8-BDBF-8DCFE3FCC524}"/>
            </c:ext>
          </c:extLst>
        </c:ser>
        <c:dLbls>
          <c:showLegendKey val="0"/>
          <c:showVal val="0"/>
          <c:showCatName val="0"/>
          <c:showSerName val="0"/>
          <c:showPercent val="0"/>
          <c:showBubbleSize val="0"/>
        </c:dLbls>
        <c:gapWidth val="182"/>
        <c:axId val="1018224463"/>
        <c:axId val="1018223631"/>
      </c:barChart>
      <c:catAx>
        <c:axId val="101822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23631"/>
        <c:crosses val="autoZero"/>
        <c:auto val="1"/>
        <c:lblAlgn val="ctr"/>
        <c:lblOffset val="100"/>
        <c:noMultiLvlLbl val="0"/>
      </c:catAx>
      <c:valAx>
        <c:axId val="1018223631"/>
        <c:scaling>
          <c:orientation val="minMax"/>
        </c:scaling>
        <c:delete val="1"/>
        <c:axPos val="b"/>
        <c:numFmt formatCode="General" sourceLinked="1"/>
        <c:majorTickMark val="none"/>
        <c:minorTickMark val="none"/>
        <c:tickLblPos val="nextTo"/>
        <c:crossAx val="1018224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5966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82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Dashboard!$V$67:$V$77</c:f>
              <c:strCache>
                <c:ptCount val="11"/>
                <c:pt idx="0">
                  <c:v>Logistics</c:v>
                </c:pt>
                <c:pt idx="1">
                  <c:v>Sales</c:v>
                </c:pt>
                <c:pt idx="2">
                  <c:v>NA</c:v>
                </c:pt>
                <c:pt idx="3">
                  <c:v>Finance</c:v>
                </c:pt>
                <c:pt idx="4">
                  <c:v>Customer Success</c:v>
                </c:pt>
                <c:pt idx="5">
                  <c:v>Operations</c:v>
                </c:pt>
                <c:pt idx="6">
                  <c:v>Procurement</c:v>
                </c:pt>
                <c:pt idx="7">
                  <c:v>Marketing</c:v>
                </c:pt>
                <c:pt idx="8">
                  <c:v>Legal</c:v>
                </c:pt>
                <c:pt idx="9">
                  <c:v>Human Resources</c:v>
                </c:pt>
                <c:pt idx="10">
                  <c:v>I.T</c:v>
                </c:pt>
              </c:strCache>
            </c:strRef>
          </c:cat>
          <c:val>
            <c:numRef>
              <c:f>Dashboard!$W$67:$W$77</c:f>
              <c:numCache>
                <c:formatCode>General</c:formatCode>
                <c:ptCount val="11"/>
                <c:pt idx="0">
                  <c:v>494339.83561643836</c:v>
                </c:pt>
                <c:pt idx="1">
                  <c:v>508805.97849462368</c:v>
                </c:pt>
                <c:pt idx="2">
                  <c:v>512588.51851851854</c:v>
                </c:pt>
                <c:pt idx="3">
                  <c:v>523785.01886792452</c:v>
                </c:pt>
                <c:pt idx="4">
                  <c:v>524894.91666666663</c:v>
                </c:pt>
                <c:pt idx="5">
                  <c:v>531258.10909090913</c:v>
                </c:pt>
                <c:pt idx="6">
                  <c:v>532070.9375</c:v>
                </c:pt>
                <c:pt idx="7">
                  <c:v>541621.14035087719</c:v>
                </c:pt>
                <c:pt idx="8">
                  <c:v>542025.59550561802</c:v>
                </c:pt>
                <c:pt idx="9">
                  <c:v>549647.5</c:v>
                </c:pt>
                <c:pt idx="10">
                  <c:v>556706.07368421054</c:v>
                </c:pt>
              </c:numCache>
            </c:numRef>
          </c:val>
          <c:extLst>
            <c:ext xmlns:c16="http://schemas.microsoft.com/office/drawing/2014/chart" uri="{C3380CC4-5D6E-409C-BE32-E72D297353CC}">
              <c16:uniqueId val="{00000000-6234-44A2-B148-281F90A23F54}"/>
            </c:ext>
          </c:extLst>
        </c:ser>
        <c:dLbls>
          <c:showLegendKey val="0"/>
          <c:showVal val="0"/>
          <c:showCatName val="0"/>
          <c:showSerName val="0"/>
          <c:showPercent val="0"/>
          <c:showBubbleSize val="0"/>
        </c:dLbls>
        <c:gapWidth val="182"/>
        <c:axId val="593542111"/>
        <c:axId val="593532959"/>
      </c:barChart>
      <c:catAx>
        <c:axId val="59354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32959"/>
        <c:crosses val="autoZero"/>
        <c:auto val="1"/>
        <c:lblAlgn val="ctr"/>
        <c:lblOffset val="100"/>
        <c:noMultiLvlLbl val="0"/>
      </c:catAx>
      <c:valAx>
        <c:axId val="593532959"/>
        <c:scaling>
          <c:orientation val="minMax"/>
        </c:scaling>
        <c:delete val="1"/>
        <c:axPos val="b"/>
        <c:numFmt formatCode="General" sourceLinked="1"/>
        <c:majorTickMark val="none"/>
        <c:minorTickMark val="none"/>
        <c:tickLblPos val="nextTo"/>
        <c:crossAx val="59354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v>Not Reviewed</c:v>
          </c:tx>
          <c:spPr>
            <a:solidFill>
              <a:srgbClr val="9CA3A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Dashboard!$AF$67</c:f>
              <c:strCache>
                <c:ptCount val="1"/>
                <c:pt idx="0">
                  <c:v>All Employees</c:v>
                </c:pt>
              </c:strCache>
            </c:strRef>
          </c:cat>
          <c:val>
            <c:numRef>
              <c:f>Dashboard!$AG$67</c:f>
              <c:numCache>
                <c:formatCode>General</c:formatCode>
                <c:ptCount val="1"/>
                <c:pt idx="0">
                  <c:v>301</c:v>
                </c:pt>
              </c:numCache>
            </c:numRef>
          </c:val>
          <c:extLst>
            <c:ext xmlns:c16="http://schemas.microsoft.com/office/drawing/2014/chart" uri="{C3380CC4-5D6E-409C-BE32-E72D297353CC}">
              <c16:uniqueId val="{00000002-6376-4E1B-B886-2DD47A2A6959}"/>
            </c:ext>
          </c:extLst>
        </c:ser>
        <c:ser>
          <c:idx val="1"/>
          <c:order val="1"/>
          <c:tx>
            <c:v>Needs Improvement</c:v>
          </c:tx>
          <c:spPr>
            <a:solidFill>
              <a:srgbClr val="DC262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Dashboard!$AF$67</c:f>
              <c:strCache>
                <c:ptCount val="1"/>
                <c:pt idx="0">
                  <c:v>All Employees</c:v>
                </c:pt>
              </c:strCache>
            </c:strRef>
          </c:cat>
          <c:val>
            <c:numRef>
              <c:f>Dashboard!$AH$67</c:f>
              <c:numCache>
                <c:formatCode>General</c:formatCode>
                <c:ptCount val="1"/>
                <c:pt idx="0">
                  <c:v>230</c:v>
                </c:pt>
              </c:numCache>
            </c:numRef>
          </c:val>
          <c:extLst>
            <c:ext xmlns:c16="http://schemas.microsoft.com/office/drawing/2014/chart" uri="{C3380CC4-5D6E-409C-BE32-E72D297353CC}">
              <c16:uniqueId val="{00000003-6376-4E1B-B886-2DD47A2A6959}"/>
            </c:ext>
          </c:extLst>
        </c:ser>
        <c:ser>
          <c:idx val="2"/>
          <c:order val="2"/>
          <c:tx>
            <c:v>Meets Expectations</c:v>
          </c:tx>
          <c:spPr>
            <a:solidFill>
              <a:srgbClr val="FBBF2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Dashboard!$AF$67</c:f>
              <c:strCache>
                <c:ptCount val="1"/>
                <c:pt idx="0">
                  <c:v>All Employees</c:v>
                </c:pt>
              </c:strCache>
            </c:strRef>
          </c:cat>
          <c:val>
            <c:numRef>
              <c:f>Dashboard!$AI$67</c:f>
              <c:numCache>
                <c:formatCode>General</c:formatCode>
                <c:ptCount val="1"/>
                <c:pt idx="0">
                  <c:v>160</c:v>
                </c:pt>
              </c:numCache>
            </c:numRef>
          </c:val>
          <c:extLst>
            <c:ext xmlns:c16="http://schemas.microsoft.com/office/drawing/2014/chart" uri="{C3380CC4-5D6E-409C-BE32-E72D297353CC}">
              <c16:uniqueId val="{00000004-6376-4E1B-B886-2DD47A2A6959}"/>
            </c:ext>
          </c:extLst>
        </c:ser>
        <c:ser>
          <c:idx val="3"/>
          <c:order val="3"/>
          <c:tx>
            <c:v>Exceeds Expectations</c:v>
          </c:tx>
          <c:spPr>
            <a:solidFill>
              <a:srgbClr val="34D39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Dashboard!$AF$67</c:f>
              <c:strCache>
                <c:ptCount val="1"/>
                <c:pt idx="0">
                  <c:v>All Employees</c:v>
                </c:pt>
              </c:strCache>
            </c:strRef>
          </c:cat>
          <c:val>
            <c:numRef>
              <c:f>Dashboard!$AJ$67</c:f>
              <c:numCache>
                <c:formatCode>General</c:formatCode>
                <c:ptCount val="1"/>
                <c:pt idx="0">
                  <c:v>155</c:v>
                </c:pt>
              </c:numCache>
            </c:numRef>
          </c:val>
          <c:extLst>
            <c:ext xmlns:c16="http://schemas.microsoft.com/office/drawing/2014/chart" uri="{C3380CC4-5D6E-409C-BE32-E72D297353CC}">
              <c16:uniqueId val="{00000005-6376-4E1B-B886-2DD47A2A6959}"/>
            </c:ext>
          </c:extLst>
        </c:ser>
        <c:ser>
          <c:idx val="4"/>
          <c:order val="4"/>
          <c:tx>
            <c:v>Outstanding</c:v>
          </c:tx>
          <c:spPr>
            <a:solidFill>
              <a:srgbClr val="05966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Dashboard!$AF$67</c:f>
              <c:strCache>
                <c:ptCount val="1"/>
                <c:pt idx="0">
                  <c:v>All Employees</c:v>
                </c:pt>
              </c:strCache>
            </c:strRef>
          </c:cat>
          <c:val>
            <c:numRef>
              <c:f>Dashboard!$AK$67</c:f>
              <c:numCache>
                <c:formatCode>General</c:formatCode>
                <c:ptCount val="1"/>
                <c:pt idx="0">
                  <c:v>155</c:v>
                </c:pt>
              </c:numCache>
            </c:numRef>
          </c:val>
          <c:extLst>
            <c:ext xmlns:c16="http://schemas.microsoft.com/office/drawing/2014/chart" uri="{C3380CC4-5D6E-409C-BE32-E72D297353CC}">
              <c16:uniqueId val="{00000006-6376-4E1B-B886-2DD47A2A6959}"/>
            </c:ext>
          </c:extLst>
        </c:ser>
        <c:dLbls>
          <c:showLegendKey val="0"/>
          <c:showVal val="0"/>
          <c:showCatName val="0"/>
          <c:showSerName val="0"/>
          <c:showPercent val="0"/>
          <c:showBubbleSize val="0"/>
        </c:dLbls>
        <c:gapWidth val="150"/>
        <c:overlap val="100"/>
        <c:axId val="1018755967"/>
        <c:axId val="1018756799"/>
      </c:barChart>
      <c:catAx>
        <c:axId val="1018755967"/>
        <c:scaling>
          <c:orientation val="minMax"/>
        </c:scaling>
        <c:delete val="1"/>
        <c:axPos val="l"/>
        <c:numFmt formatCode="General" sourceLinked="1"/>
        <c:majorTickMark val="none"/>
        <c:minorTickMark val="none"/>
        <c:tickLblPos val="nextTo"/>
        <c:crossAx val="1018756799"/>
        <c:crosses val="autoZero"/>
        <c:auto val="1"/>
        <c:lblAlgn val="ctr"/>
        <c:lblOffset val="100"/>
        <c:noMultiLvlLbl val="0"/>
      </c:catAx>
      <c:valAx>
        <c:axId val="1018756799"/>
        <c:scaling>
          <c:orientation val="minMax"/>
        </c:scaling>
        <c:delete val="1"/>
        <c:axPos val="b"/>
        <c:numFmt formatCode="0%" sourceLinked="1"/>
        <c:majorTickMark val="none"/>
        <c:minorTickMark val="none"/>
        <c:tickLblPos val="nextTo"/>
        <c:crossAx val="1018755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Dashboard!$Z$66</c:f>
              <c:strCache>
                <c:ptCount val="1"/>
                <c:pt idx="0">
                  <c:v>Attendance Rate</c:v>
                </c:pt>
              </c:strCache>
            </c:strRef>
          </c:tx>
          <c:spPr>
            <a:solidFill>
              <a:srgbClr val="2563EB"/>
            </a:solidFill>
            <a:ln>
              <a:noFill/>
            </a:ln>
            <a:effectLst/>
          </c:spPr>
          <c:invertIfNegative val="0"/>
          <c:cat>
            <c:strRef>
              <c:f>Dashboard!$Y$67:$Y$77</c:f>
              <c:strCache>
                <c:ptCount val="11"/>
                <c:pt idx="0">
                  <c:v>Customer Success</c:v>
                </c:pt>
                <c:pt idx="1">
                  <c:v>Sales</c:v>
                </c:pt>
                <c:pt idx="2">
                  <c:v>Finance</c:v>
                </c:pt>
                <c:pt idx="3">
                  <c:v>Logistics</c:v>
                </c:pt>
                <c:pt idx="4">
                  <c:v>I.T</c:v>
                </c:pt>
                <c:pt idx="5">
                  <c:v>Operations</c:v>
                </c:pt>
                <c:pt idx="6">
                  <c:v>Procurement</c:v>
                </c:pt>
                <c:pt idx="7">
                  <c:v>NA</c:v>
                </c:pt>
                <c:pt idx="8">
                  <c:v>Marketing</c:v>
                </c:pt>
                <c:pt idx="9">
                  <c:v>Human Resources</c:v>
                </c:pt>
                <c:pt idx="10">
                  <c:v>Legal</c:v>
                </c:pt>
              </c:strCache>
            </c:strRef>
          </c:cat>
          <c:val>
            <c:numRef>
              <c:f>Dashboard!$Z$67:$Z$77</c:f>
              <c:numCache>
                <c:formatCode>General</c:formatCode>
                <c:ptCount val="11"/>
                <c:pt idx="0">
                  <c:v>0.72840136054421745</c:v>
                </c:pt>
                <c:pt idx="1">
                  <c:v>0.73113159242191472</c:v>
                </c:pt>
                <c:pt idx="2">
                  <c:v>0.73242630385487484</c:v>
                </c:pt>
                <c:pt idx="3">
                  <c:v>0.73450750163078937</c:v>
                </c:pt>
                <c:pt idx="4">
                  <c:v>0.73784461152882153</c:v>
                </c:pt>
                <c:pt idx="5">
                  <c:v>0.74464868464868406</c:v>
                </c:pt>
                <c:pt idx="6">
                  <c:v>0.75174319727891137</c:v>
                </c:pt>
                <c:pt idx="7">
                  <c:v>0.75167548500881853</c:v>
                </c:pt>
                <c:pt idx="8">
                  <c:v>0.75495790758948622</c:v>
                </c:pt>
                <c:pt idx="9">
                  <c:v>0.7552964042759962</c:v>
                </c:pt>
                <c:pt idx="10">
                  <c:v>0.76645264847511996</c:v>
                </c:pt>
              </c:numCache>
            </c:numRef>
          </c:val>
          <c:extLst>
            <c:ext xmlns:c16="http://schemas.microsoft.com/office/drawing/2014/chart" uri="{C3380CC4-5D6E-409C-BE32-E72D297353CC}">
              <c16:uniqueId val="{00000000-074B-477A-A61D-E079A89CC9DF}"/>
            </c:ext>
          </c:extLst>
        </c:ser>
        <c:dLbls>
          <c:showLegendKey val="0"/>
          <c:showVal val="0"/>
          <c:showCatName val="0"/>
          <c:showSerName val="0"/>
          <c:showPercent val="0"/>
          <c:showBubbleSize val="0"/>
        </c:dLbls>
        <c:gapWidth val="219"/>
        <c:overlap val="-27"/>
        <c:axId val="1316760543"/>
        <c:axId val="1316756383"/>
      </c:barChart>
      <c:lineChart>
        <c:grouping val="standard"/>
        <c:varyColors val="0"/>
        <c:ser>
          <c:idx val="1"/>
          <c:order val="1"/>
          <c:tx>
            <c:strRef>
              <c:f>Dashboard!$AA$66</c:f>
              <c:strCache>
                <c:ptCount val="1"/>
                <c:pt idx="0">
                  <c:v>Target</c:v>
                </c:pt>
              </c:strCache>
            </c:strRef>
          </c:tx>
          <c:spPr>
            <a:ln w="25400" cap="rnd">
              <a:solidFill>
                <a:srgbClr val="DC2626"/>
              </a:solidFill>
              <a:prstDash val="lgDash"/>
              <a:round/>
            </a:ln>
            <a:effectLst/>
          </c:spPr>
          <c:marker>
            <c:symbol val="none"/>
          </c:marker>
          <c:cat>
            <c:strRef>
              <c:f>Dashboard!$Y$67:$Y$77</c:f>
              <c:strCache>
                <c:ptCount val="11"/>
                <c:pt idx="0">
                  <c:v>Customer Success</c:v>
                </c:pt>
                <c:pt idx="1">
                  <c:v>Sales</c:v>
                </c:pt>
                <c:pt idx="2">
                  <c:v>Finance</c:v>
                </c:pt>
                <c:pt idx="3">
                  <c:v>Logistics</c:v>
                </c:pt>
                <c:pt idx="4">
                  <c:v>I.T</c:v>
                </c:pt>
                <c:pt idx="5">
                  <c:v>Operations</c:v>
                </c:pt>
                <c:pt idx="6">
                  <c:v>Procurement</c:v>
                </c:pt>
                <c:pt idx="7">
                  <c:v>NA</c:v>
                </c:pt>
                <c:pt idx="8">
                  <c:v>Marketing</c:v>
                </c:pt>
                <c:pt idx="9">
                  <c:v>Human Resources</c:v>
                </c:pt>
                <c:pt idx="10">
                  <c:v>Legal</c:v>
                </c:pt>
              </c:strCache>
            </c:strRef>
          </c:cat>
          <c:val>
            <c:numRef>
              <c:f>Dashboard!$AA$67:$AA$77</c:f>
              <c:numCache>
                <c:formatCode>General</c:formatCode>
                <c:ptCount val="11"/>
                <c:pt idx="0">
                  <c:v>0.85</c:v>
                </c:pt>
                <c:pt idx="1">
                  <c:v>0.85</c:v>
                </c:pt>
                <c:pt idx="2">
                  <c:v>0.85</c:v>
                </c:pt>
                <c:pt idx="3">
                  <c:v>0.85</c:v>
                </c:pt>
                <c:pt idx="4">
                  <c:v>0.85</c:v>
                </c:pt>
                <c:pt idx="5">
                  <c:v>0.85</c:v>
                </c:pt>
                <c:pt idx="6">
                  <c:v>0.85</c:v>
                </c:pt>
                <c:pt idx="7">
                  <c:v>0.85</c:v>
                </c:pt>
                <c:pt idx="8">
                  <c:v>0.85</c:v>
                </c:pt>
                <c:pt idx="9">
                  <c:v>0.85</c:v>
                </c:pt>
                <c:pt idx="10">
                  <c:v>0.85</c:v>
                </c:pt>
              </c:numCache>
            </c:numRef>
          </c:val>
          <c:smooth val="0"/>
          <c:extLst>
            <c:ext xmlns:c16="http://schemas.microsoft.com/office/drawing/2014/chart" uri="{C3380CC4-5D6E-409C-BE32-E72D297353CC}">
              <c16:uniqueId val="{00000001-074B-477A-A61D-E079A89CC9DF}"/>
            </c:ext>
          </c:extLst>
        </c:ser>
        <c:dLbls>
          <c:showLegendKey val="0"/>
          <c:showVal val="0"/>
          <c:showCatName val="0"/>
          <c:showSerName val="0"/>
          <c:showPercent val="0"/>
          <c:showBubbleSize val="0"/>
        </c:dLbls>
        <c:marker val="1"/>
        <c:smooth val="0"/>
        <c:axId val="1316760543"/>
        <c:axId val="1316756383"/>
      </c:lineChart>
      <c:catAx>
        <c:axId val="131676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16756383"/>
        <c:crosses val="autoZero"/>
        <c:auto val="1"/>
        <c:lblAlgn val="ctr"/>
        <c:lblOffset val="100"/>
        <c:noMultiLvlLbl val="0"/>
      </c:catAx>
      <c:valAx>
        <c:axId val="1316756383"/>
        <c:scaling>
          <c:orientation val="minMax"/>
        </c:scaling>
        <c:delete val="1"/>
        <c:axPos val="l"/>
        <c:numFmt formatCode="General" sourceLinked="1"/>
        <c:majorTickMark val="none"/>
        <c:minorTickMark val="none"/>
        <c:tickLblPos val="nextTo"/>
        <c:crossAx val="131676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Dashboard!$AD$66</c:f>
              <c:strCache>
                <c:ptCount val="1"/>
                <c:pt idx="0">
                  <c:v>Avg Performance</c:v>
                </c:pt>
              </c:strCache>
            </c:strRef>
          </c:tx>
          <c:spPr>
            <a:solidFill>
              <a:srgbClr val="059669"/>
            </a:solidFill>
            <a:ln>
              <a:noFill/>
            </a:ln>
            <a:effectLst/>
          </c:spPr>
          <c:invertIfNegative val="0"/>
          <c:cat>
            <c:strRef>
              <c:f>Dashboard!$AC$67:$AC$71</c:f>
              <c:strCache>
                <c:ptCount val="5"/>
                <c:pt idx="0">
                  <c:v>Daniel Eze</c:v>
                </c:pt>
                <c:pt idx="1">
                  <c:v>Michael Brown</c:v>
                </c:pt>
                <c:pt idx="2">
                  <c:v>Not Assigned</c:v>
                </c:pt>
                <c:pt idx="3">
                  <c:v>Grace Okafor</c:v>
                </c:pt>
                <c:pt idx="4">
                  <c:v>Sarah Johnson</c:v>
                </c:pt>
              </c:strCache>
            </c:strRef>
          </c:cat>
          <c:val>
            <c:numRef>
              <c:f>Dashboard!$AD$67:$AD$71</c:f>
              <c:numCache>
                <c:formatCode>General</c:formatCode>
                <c:ptCount val="5"/>
                <c:pt idx="0">
                  <c:v>78.975999999999999</c:v>
                </c:pt>
                <c:pt idx="1">
                  <c:v>77.918918918918919</c:v>
                </c:pt>
                <c:pt idx="2">
                  <c:v>77.319018404907979</c:v>
                </c:pt>
                <c:pt idx="3">
                  <c:v>76.141666666666666</c:v>
                </c:pt>
                <c:pt idx="4">
                  <c:v>76.111111111111114</c:v>
                </c:pt>
              </c:numCache>
            </c:numRef>
          </c:val>
          <c:extLst>
            <c:ext xmlns:c16="http://schemas.microsoft.com/office/drawing/2014/chart" uri="{C3380CC4-5D6E-409C-BE32-E72D297353CC}">
              <c16:uniqueId val="{00000000-235C-4BF8-8664-D56AED4F0EA9}"/>
            </c:ext>
          </c:extLst>
        </c:ser>
        <c:dLbls>
          <c:showLegendKey val="0"/>
          <c:showVal val="0"/>
          <c:showCatName val="0"/>
          <c:showSerName val="0"/>
          <c:showPercent val="0"/>
          <c:showBubbleSize val="0"/>
        </c:dLbls>
        <c:gapWidth val="219"/>
        <c:overlap val="-27"/>
        <c:axId val="593535039"/>
        <c:axId val="593551679"/>
      </c:barChart>
      <c:lineChart>
        <c:grouping val="standard"/>
        <c:varyColors val="0"/>
        <c:ser>
          <c:idx val="1"/>
          <c:order val="1"/>
          <c:tx>
            <c:strRef>
              <c:f>Dashboard!$AE$66</c:f>
              <c:strCache>
                <c:ptCount val="1"/>
                <c:pt idx="0">
                  <c:v>Target</c:v>
                </c:pt>
              </c:strCache>
            </c:strRef>
          </c:tx>
          <c:spPr>
            <a:ln w="25400" cap="rnd">
              <a:solidFill>
                <a:srgbClr val="DC2626"/>
              </a:solidFill>
              <a:prstDash val="lgDash"/>
              <a:round/>
            </a:ln>
            <a:effectLst/>
          </c:spPr>
          <c:marker>
            <c:symbol val="none"/>
          </c:marker>
          <c:cat>
            <c:strRef>
              <c:f>Dashboard!$AC$67:$AC$71</c:f>
              <c:strCache>
                <c:ptCount val="5"/>
                <c:pt idx="0">
                  <c:v>Daniel Eze</c:v>
                </c:pt>
                <c:pt idx="1">
                  <c:v>Michael Brown</c:v>
                </c:pt>
                <c:pt idx="2">
                  <c:v>Not Assigned</c:v>
                </c:pt>
                <c:pt idx="3">
                  <c:v>Grace Okafor</c:v>
                </c:pt>
                <c:pt idx="4">
                  <c:v>Sarah Johnson</c:v>
                </c:pt>
              </c:strCache>
            </c:strRef>
          </c:cat>
          <c:val>
            <c:numRef>
              <c:f>Dashboard!$AE$67:$AE$71</c:f>
              <c:numCache>
                <c:formatCode>General</c:formatCode>
                <c:ptCount val="5"/>
                <c:pt idx="0">
                  <c:v>75</c:v>
                </c:pt>
                <c:pt idx="1">
                  <c:v>75</c:v>
                </c:pt>
                <c:pt idx="2">
                  <c:v>75</c:v>
                </c:pt>
                <c:pt idx="3">
                  <c:v>75</c:v>
                </c:pt>
                <c:pt idx="4">
                  <c:v>75</c:v>
                </c:pt>
              </c:numCache>
            </c:numRef>
          </c:val>
          <c:smooth val="0"/>
          <c:extLst>
            <c:ext xmlns:c16="http://schemas.microsoft.com/office/drawing/2014/chart" uri="{C3380CC4-5D6E-409C-BE32-E72D297353CC}">
              <c16:uniqueId val="{00000001-235C-4BF8-8664-D56AED4F0EA9}"/>
            </c:ext>
          </c:extLst>
        </c:ser>
        <c:dLbls>
          <c:showLegendKey val="0"/>
          <c:showVal val="0"/>
          <c:showCatName val="0"/>
          <c:showSerName val="0"/>
          <c:showPercent val="0"/>
          <c:showBubbleSize val="0"/>
        </c:dLbls>
        <c:marker val="1"/>
        <c:smooth val="0"/>
        <c:axId val="593535039"/>
        <c:axId val="593551679"/>
      </c:lineChart>
      <c:catAx>
        <c:axId val="5935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3551679"/>
        <c:crosses val="autoZero"/>
        <c:auto val="1"/>
        <c:lblAlgn val="ctr"/>
        <c:lblOffset val="100"/>
        <c:noMultiLvlLbl val="0"/>
      </c:catAx>
      <c:valAx>
        <c:axId val="593551679"/>
        <c:scaling>
          <c:orientation val="minMax"/>
        </c:scaling>
        <c:delete val="1"/>
        <c:axPos val="l"/>
        <c:numFmt formatCode="General" sourceLinked="1"/>
        <c:majorTickMark val="none"/>
        <c:minorTickMark val="none"/>
        <c:tickLblPos val="nextTo"/>
        <c:crossAx val="59353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30</xdr:col>
      <xdr:colOff>95250</xdr:colOff>
      <xdr:row>8</xdr:row>
      <xdr:rowOff>25400</xdr:rowOff>
    </xdr:from>
    <xdr:to>
      <xdr:col>33</xdr:col>
      <xdr:colOff>132442</xdr:colOff>
      <xdr:row>20</xdr:row>
      <xdr:rowOff>32203</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87380CB2-541C-4FF4-9B11-7B8E4BC4B1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80657" y="1266825"/>
              <a:ext cx="185601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95250</xdr:colOff>
      <xdr:row>37</xdr:row>
      <xdr:rowOff>101600</xdr:rowOff>
    </xdr:from>
    <xdr:to>
      <xdr:col>33</xdr:col>
      <xdr:colOff>9071</xdr:colOff>
      <xdr:row>46</xdr:row>
      <xdr:rowOff>161925</xdr:rowOff>
    </xdr:to>
    <mc:AlternateContent xmlns:mc="http://schemas.openxmlformats.org/markup-compatibility/2006" xmlns:a14="http://schemas.microsoft.com/office/drawing/2010/main">
      <mc:Choice Requires="a14">
        <xdr:graphicFrame macro="">
          <xdr:nvGraphicFramePr>
            <xdr:cNvPr id="31" name="Manager">
              <a:extLst>
                <a:ext uri="{FF2B5EF4-FFF2-40B4-BE49-F238E27FC236}">
                  <a16:creationId xmlns:a16="http://schemas.microsoft.com/office/drawing/2014/main" id="{26CC4927-EFB6-423D-83A0-82BF3DEA38E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3087007" y="5768975"/>
              <a:ext cx="1732643" cy="17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95250</xdr:colOff>
      <xdr:row>22</xdr:row>
      <xdr:rowOff>63500</xdr:rowOff>
    </xdr:from>
    <xdr:to>
      <xdr:col>33</xdr:col>
      <xdr:colOff>132442</xdr:colOff>
      <xdr:row>31</xdr:row>
      <xdr:rowOff>60325</xdr:rowOff>
    </xdr:to>
    <mc:AlternateContent xmlns:mc="http://schemas.openxmlformats.org/markup-compatibility/2006" xmlns:a14="http://schemas.microsoft.com/office/drawing/2010/main">
      <mc:Choice Requires="a14">
        <xdr:graphicFrame macro="">
          <xdr:nvGraphicFramePr>
            <xdr:cNvPr id="32" name="Rating">
              <a:extLst>
                <a:ext uri="{FF2B5EF4-FFF2-40B4-BE49-F238E27FC236}">
                  <a16:creationId xmlns:a16="http://schemas.microsoft.com/office/drawing/2014/main" id="{F51B1CF7-2209-4BA1-8144-895B6B722C8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074307" y="3946525"/>
              <a:ext cx="1856014" cy="1711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xdr:colOff>
      <xdr:row>2</xdr:row>
      <xdr:rowOff>95250</xdr:rowOff>
    </xdr:from>
    <xdr:to>
      <xdr:col>7</xdr:col>
      <xdr:colOff>9525</xdr:colOff>
      <xdr:row>7</xdr:row>
      <xdr:rowOff>0</xdr:rowOff>
    </xdr:to>
    <xdr:pic>
      <xdr:nvPicPr>
        <xdr:cNvPr id="34" name="Picture 33">
          <a:extLst>
            <a:ext uri="{FF2B5EF4-FFF2-40B4-BE49-F238E27FC236}">
              <a16:creationId xmlns:a16="http://schemas.microsoft.com/office/drawing/2014/main" id="{3298AFE0-F255-4F7C-A013-DED66D54F7B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tretch>
          <a:fillRect/>
        </a:stretch>
      </xdr:blipFill>
      <xdr:spPr>
        <a:xfrm>
          <a:off x="3076575" y="285750"/>
          <a:ext cx="971550" cy="857250"/>
        </a:xfrm>
        <a:prstGeom prst="rect">
          <a:avLst/>
        </a:prstGeom>
      </xdr:spPr>
    </xdr:pic>
    <xdr:clientData/>
  </xdr:twoCellAnchor>
  <xdr:twoCellAnchor>
    <xdr:from>
      <xdr:col>0</xdr:col>
      <xdr:colOff>0</xdr:colOff>
      <xdr:row>16</xdr:row>
      <xdr:rowOff>0</xdr:rowOff>
    </xdr:from>
    <xdr:to>
      <xdr:col>11</xdr:col>
      <xdr:colOff>0</xdr:colOff>
      <xdr:row>30</xdr:row>
      <xdr:rowOff>0</xdr:rowOff>
    </xdr:to>
    <xdr:graphicFrame macro="">
      <xdr:nvGraphicFramePr>
        <xdr:cNvPr id="40" name="ChartHeadcount">
          <a:extLst>
            <a:ext uri="{FF2B5EF4-FFF2-40B4-BE49-F238E27FC236}">
              <a16:creationId xmlns:a16="http://schemas.microsoft.com/office/drawing/2014/main" id="{E382486B-4DFB-4313-8DB4-B099DDD97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16</xdr:row>
      <xdr:rowOff>0</xdr:rowOff>
    </xdr:from>
    <xdr:to>
      <xdr:col>23</xdr:col>
      <xdr:colOff>0</xdr:colOff>
      <xdr:row>30</xdr:row>
      <xdr:rowOff>0</xdr:rowOff>
    </xdr:to>
    <xdr:graphicFrame macro="">
      <xdr:nvGraphicFramePr>
        <xdr:cNvPr id="41" name="ChartAvgSalary">
          <a:extLst>
            <a:ext uri="{FF2B5EF4-FFF2-40B4-BE49-F238E27FC236}">
              <a16:creationId xmlns:a16="http://schemas.microsoft.com/office/drawing/2014/main" id="{F12D3CD0-129F-4076-B2B0-DB6B65C97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23</xdr:col>
      <xdr:colOff>0</xdr:colOff>
      <xdr:row>37</xdr:row>
      <xdr:rowOff>0</xdr:rowOff>
    </xdr:to>
    <xdr:graphicFrame macro="">
      <xdr:nvGraphicFramePr>
        <xdr:cNvPr id="43" name="ChartRatingComposition">
          <a:extLst>
            <a:ext uri="{FF2B5EF4-FFF2-40B4-BE49-F238E27FC236}">
              <a16:creationId xmlns:a16="http://schemas.microsoft.com/office/drawing/2014/main" id="{28A57029-F94B-4188-96A5-3DB6D08FF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0</xdr:rowOff>
    </xdr:from>
    <xdr:to>
      <xdr:col>11</xdr:col>
      <xdr:colOff>0</xdr:colOff>
      <xdr:row>53</xdr:row>
      <xdr:rowOff>0</xdr:rowOff>
    </xdr:to>
    <xdr:graphicFrame macro="">
      <xdr:nvGraphicFramePr>
        <xdr:cNvPr id="44" name="ChartAttendanceVsTarget">
          <a:extLst>
            <a:ext uri="{FF2B5EF4-FFF2-40B4-BE49-F238E27FC236}">
              <a16:creationId xmlns:a16="http://schemas.microsoft.com/office/drawing/2014/main" id="{307C7DF6-FCB8-4B7D-88C9-14236A35A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38</xdr:row>
      <xdr:rowOff>0</xdr:rowOff>
    </xdr:from>
    <xdr:to>
      <xdr:col>23</xdr:col>
      <xdr:colOff>0</xdr:colOff>
      <xdr:row>53</xdr:row>
      <xdr:rowOff>0</xdr:rowOff>
    </xdr:to>
    <xdr:graphicFrame macro="">
      <xdr:nvGraphicFramePr>
        <xdr:cNvPr id="45" name="ChartPerfVsTarget">
          <a:extLst>
            <a:ext uri="{FF2B5EF4-FFF2-40B4-BE49-F238E27FC236}">
              <a16:creationId xmlns:a16="http://schemas.microsoft.com/office/drawing/2014/main" id="{F4B4D9A1-406F-4600-9524-B4F82B709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2.807040740743" createdVersion="7" refreshedVersion="7" minRefreshableVersion="3" recordCount="1002" xr:uid="{73F39D98-49CD-4B45-B752-AB054AB338D0}">
  <cacheSource type="worksheet">
    <worksheetSource ref="A1:N1048576" sheet="Employee_Master"/>
  </cacheSource>
  <cacheFields count="14">
    <cacheField name="EmployeeID" numFmtId="0">
      <sharedItems containsBlank="1"/>
    </cacheField>
    <cacheField name="Employee Name" numFmtId="0">
      <sharedItems containsBlank="1" count="380">
        <s v="Samuel Mohammed"/>
        <s v="Oluwaseun Ibrahim"/>
        <s v="Blessing Okafor"/>
        <s v="Peter Obi"/>
        <s v="David Yusuf"/>
        <s v="Kemi Abdullahi"/>
        <s v="Fatima Yusuf"/>
        <s v="Ruth Okafor"/>
        <s v="Emeka Ibrahim"/>
        <s v="Abdul Mohammed"/>
        <s v="Emeka Afolabi"/>
        <s v="Abdul Obi"/>
        <s v="David Eze"/>
        <s v="Peter Nwosu"/>
        <s v="Kemi Umeh"/>
        <s v="Emeka Musa"/>
        <s v="Peter Adeyemi"/>
        <s v="Tunde Ajayi"/>
        <s v="Chinedu Ibrahim"/>
        <s v="Chioma Yusuf"/>
        <s v="Fatima Bello"/>
        <s v="Fatima Balogun"/>
        <s v="Chioma Bello"/>
        <s v="Chioma Ibrahim"/>
        <s v="Fatima Adeyemi"/>
        <s v="Ibrahim Akinola"/>
        <s v="Tunde Nwosu"/>
        <s v="Joy Balogun"/>
        <s v="Ngozi Umeh"/>
        <s v="Kemi Okafor"/>
        <s v="Blessing Yusuf"/>
        <s v="Ibrahim Musa"/>
        <s v="Maryam Eze"/>
        <s v="Samuel Akinola"/>
        <s v="Joy Okoro"/>
        <s v="Oluwaseun Nwosu"/>
        <s v="Abdul Ibrahim"/>
        <s v="Fatima Abdullahi"/>
        <s v="Samuel Yusuf"/>
        <s v="Blessing Bello"/>
        <s v="Tunde Okoro"/>
        <s v="Joy Ajayi"/>
        <s v="Chioma Obi"/>
        <s v="Abdul Afolabi"/>
        <s v="Esther Lawal"/>
        <s v="Kemi Eze"/>
        <s v="Fatima Onyeka"/>
        <s v="Abdul Onyeka"/>
        <s v="Ruth Musa"/>
        <s v="Esther Balogun"/>
        <s v="Chinedu Eze"/>
        <s v="Ruth Abdullahi"/>
        <s v="Chinedu Abdullahi"/>
        <s v="Kemi Ajayi"/>
        <s v="Emeka Okafor"/>
        <s v="Oluwaseun Abdullahi"/>
        <s v="Fatima Ojo"/>
        <s v="Ngozi Ojo"/>
        <s v="Peter Okafor"/>
        <s v="Chioma Ajayi"/>
        <s v="Samuel Okafor"/>
        <s v="Ngozi Bello"/>
        <s v="Kemi Afolabi"/>
        <s v="Peter Akinola"/>
        <s v="Chinedu Obi"/>
        <s v="Adebayo Mohammed"/>
        <s v="Tunde Mohammed"/>
        <s v="Fatima Okafor"/>
        <s v="Joy Nwosu"/>
        <s v="Maryam Bello"/>
        <s v="Zainab Okafor"/>
        <s v="David Onyeka"/>
        <s v="Oluwaseun Mohammed"/>
        <s v="Esther Adeyemi"/>
        <s v="Oluwaseun Okafor"/>
        <s v="Adebayo Abdullahi"/>
        <s v="Ibrahim Nwosu"/>
        <s v="Oluwaseun Eze"/>
        <s v="Zainab Onyeka"/>
        <s v="Fatima Mohammed"/>
        <s v="Samuel Balogun"/>
        <s v="Maryam Adeyemi"/>
        <s v="Samuel Bello"/>
        <s v="Maryam Lawal"/>
        <s v="Ibrahim Okafor"/>
        <s v="Emeka Umeh"/>
        <s v="Peter Afolabi"/>
        <s v="Ruth Lawal"/>
        <s v="Blessing Obi"/>
        <s v="Joy Adeyemi"/>
        <s v="Maryam Onyeka"/>
        <s v="Esther Akinola"/>
        <s v="Ruth Ojo"/>
        <s v="David Akinola"/>
        <s v="Adebayo Umeh"/>
        <s v="Fatima Umeh"/>
        <s v="Ngozi Yusuf"/>
        <s v="Oluwaseun Akinola"/>
        <s v="Abdul Umeh"/>
        <s v="Oluwaseun Musa"/>
        <s v="Joy Mohammed"/>
        <s v="Chioma Okoro"/>
        <s v="Chinedu Lawal"/>
        <s v="David Umeh"/>
        <s v="Ngozi Eze"/>
        <s v="Ngozi Nwosu"/>
        <s v="Emeka Eze"/>
        <s v="Fatima Ibrahim"/>
        <s v="Fatima Eze"/>
        <s v="Chinedu Nwosu"/>
        <s v="Adebayo Yusuf"/>
        <s v="Zainab Ibrahim"/>
        <s v="Ibrahim Abdullahi"/>
        <s v="Peter Lawal"/>
        <s v="Ngozi Obi"/>
        <s v="Chinedu Mohammed"/>
        <s v="Adebayo Obi"/>
        <s v="Zainab Mohammed"/>
        <s v="Fatima Afolabi"/>
        <s v="Chioma Onyeka"/>
        <s v="Chinedu Musa"/>
        <s v="Ruth Nwosu"/>
        <s v="Ngozi Ajayi"/>
        <s v="Fatima Musa"/>
        <s v="Adebayo Okafor"/>
        <s v="Emeka Lawal"/>
        <s v="Tunde Abdullahi"/>
        <s v="Peter Eze"/>
        <s v="Ruth Mohammed"/>
        <s v="Chioma Eze"/>
        <s v="Ngozi Mohammed"/>
        <s v="Maryam Ibrahim"/>
        <s v="Kemi Yusuf"/>
        <s v="Tunde Ojo"/>
        <s v="Zainab Bello"/>
        <s v="Ngozi Lawal"/>
        <s v="Ibrahim Adeyemi"/>
        <s v="Ngozi Ibrahim"/>
        <s v="Zainab Ojo"/>
        <s v="Maryam Akinola"/>
        <s v="Adebayo Adeyemi"/>
        <s v="Oluwaseun Ajayi"/>
        <s v="Chioma Afolabi"/>
        <s v="Fatima Okoro"/>
        <s v="Tunde Onyeka"/>
        <s v="Adebayo Okoro"/>
        <s v="Ibrahim Ajayi"/>
        <s v="Tunde Bello"/>
        <s v="Joy Ibrahim"/>
        <s v="Oluwaseun Lawal"/>
        <s v="Blessing Mohammed"/>
        <s v="Kemi Balogun"/>
        <s v="Blessing Adeyemi"/>
        <s v="Fatima Lawal"/>
        <s v="Tunde Adeyemi"/>
        <s v="Samuel Abdullahi"/>
        <s v="David Ojo"/>
        <s v="Joy Yusuf"/>
        <s v="Blessing Afolabi"/>
        <s v="Maryam Balogun"/>
        <s v="Maryam Abdullahi"/>
        <s v="Blessing Lawal"/>
        <s v="Adebayo Eze"/>
        <s v="Tunde Okafor"/>
        <s v="Kemi Mohammed"/>
        <s v="Ruth Umeh"/>
        <s v="Samuel Ojo"/>
        <s v="Emeka Mohammed"/>
        <s v="Chioma Akinola"/>
        <s v="David Okafor"/>
        <s v="Peter Balogun"/>
        <s v="David Lawal"/>
        <s v="Zainab Adeyemi"/>
        <s v="David Mohammed"/>
        <s v="Tunde Balogun"/>
        <s v="Kemi Okoro"/>
        <s v="Emeka Onyeka"/>
        <s v="Ruth Balogun"/>
        <s v="Peter Bello"/>
        <s v="Joy Abdullahi"/>
        <s v="Tunde Umeh"/>
        <s v="Ibrahim Balogun"/>
        <s v="Adebayo Ojo"/>
        <s v="Zainab Afolabi"/>
        <s v="Zainab Yusuf"/>
        <s v="Kemi Akinola"/>
        <s v="Emeka Ajayi"/>
        <s v="David Abdullahi"/>
        <s v="Oluwaseun Onyeka"/>
        <s v="Tunde Akinola"/>
        <s v="Abdul Adeyemi"/>
        <s v="Ibrahim Okoro"/>
        <s v="Esther Nwosu"/>
        <s v="Peter Yusuf"/>
        <s v="Blessing Eze"/>
        <s v="Joy Ojo"/>
        <s v="Abdul Musa"/>
        <s v="Fatima Ajayi"/>
        <s v="Samuel Onyeka"/>
        <s v="Joy Okafor"/>
        <s v="Chinedu Afolabi"/>
        <s v="Ibrahim Onyeka"/>
        <s v="Chinedu Ojo"/>
        <s v="Kemi Bello"/>
        <s v="Ibrahim Obi"/>
        <s v="Tunde Lawal"/>
        <s v="Adebayo Lawal"/>
        <s v="Emeka Nwosu"/>
        <s v="Maryam Nwosu"/>
        <s v="Ruth Adeyemi"/>
        <s v="Chioma Abdullahi"/>
        <s v="Chinedu Balogun"/>
        <s v="Esther Okafor"/>
        <s v="Fatima Akinola"/>
        <s v="Ibrahim Ojo"/>
        <s v="Adebayo Akinola"/>
        <s v="Samuel Musa"/>
        <s v="Chinedu Onyeka"/>
        <s v="Ruth Okoro"/>
        <s v="Emeka Adeyemi"/>
        <s v="Ngozi Onyeka"/>
        <s v="David Okoro"/>
        <s v="Chinedu Okoro"/>
        <s v="Joy Obi"/>
        <s v="Samuel Umeh"/>
        <s v="Kemi Nwosu"/>
        <s v="Abdul Nwosu"/>
        <s v="Esther Abdullahi"/>
        <s v="Ngozi Okoro"/>
        <s v="Samuel Obi"/>
        <s v="Abdul Okafor"/>
        <s v="Blessing Ojo"/>
        <s v="Chioma Lawal"/>
        <s v="Maryam Musa"/>
        <s v="Esther Musa"/>
        <s v="Maryam Okafor"/>
        <s v="Zainab Okoro"/>
        <s v="Emeka Yusuf"/>
        <s v="Ruth Bello"/>
        <s v="Ngozi Okafor"/>
        <s v="Peter Onyeka"/>
        <s v="Ruth Eze"/>
        <s v="Ngozi Balogun"/>
        <s v="Blessing Abdullahi"/>
        <s v="Samuel Ibrahim"/>
        <s v="Esther Okoro"/>
        <s v="Adebayo Bello"/>
        <s v="Ibrahim Umeh"/>
        <s v="Abdul Ajayi"/>
        <s v="Oluwaseun Adeyemi"/>
        <s v="Ruth Onyeka"/>
        <s v="Ruth Afolabi"/>
        <s v="Peter Ojo"/>
        <s v="Chioma Ojo"/>
        <s v="Joy Bello"/>
        <s v="Zainab Umeh"/>
        <s v="Ruth Ibrahim"/>
        <s v="Samuel Okoro"/>
        <s v="Peter Musa"/>
        <s v="Chioma Balogun"/>
        <s v="Peter Abdullahi"/>
        <s v="Samuel Ajayi"/>
        <s v="Blessing Okoro"/>
        <s v="Chioma Umeh"/>
        <s v="Blessing Balogun"/>
        <s v="Chioma Mohammed"/>
        <s v="Chinedu Ajayi"/>
        <s v="Emeka Ojo"/>
        <s v="Fatima Nwosu"/>
        <s v="Oluwaseun Ojo"/>
        <s v="Zainab Balogun"/>
        <s v="Peter Ajayi"/>
        <s v="Chioma Musa"/>
        <s v="Chioma Okafor"/>
        <s v="Abdul Abdullahi"/>
        <s v="Chioma Nwosu"/>
        <s v="Abdul Akinola"/>
        <s v="Blessing Ibrahim"/>
        <s v="Ibrahim Bello"/>
        <s v="Ruth Obi"/>
        <s v="Abdul Balogun"/>
        <s v="Peter Mohammed"/>
        <s v="Ngozi Adeyemi"/>
        <s v="Abdul Ojo"/>
        <s v="Emeka Abdullahi"/>
        <s v="Kemi Musa"/>
        <s v="Chinedu Adeyemi"/>
        <s v="Ngozi Akinola"/>
        <s v="Ibrahim Mohammed"/>
        <s v="Samuel Adeyemi"/>
        <s v="Maryam Umeh"/>
        <s v="David Adeyemi"/>
        <s v="Blessing Onyeka"/>
        <s v="Abdul Lawal"/>
        <s v="Maryam Mohammed"/>
        <s v="Kemi Adeyemi"/>
        <s v="Peter Okoro"/>
        <s v="Ruth Akinola"/>
        <s v="David Ibrahim"/>
        <s v="Kemi Ojo"/>
        <s v="Esther Ibrahim"/>
        <s v="Blessing Umeh"/>
        <s v="Tunde Eze"/>
        <s v="Esther Onyeka"/>
        <s v="Esther Mohammed"/>
        <s v="Adebayo Nwosu"/>
        <s v="Zainab Ajayi"/>
        <s v="Ngozi Afolabi"/>
        <s v="Oluwaseun Bello"/>
        <s v="Maryam Afolabi"/>
        <s v="Tunde Yusuf"/>
        <s v="Kemi Lawal"/>
        <s v="Joy Afolabi"/>
        <s v="Emeka Balogun"/>
        <s v="Tunde Obi"/>
        <s v="Ngozi Abdullahi"/>
        <s v="Adebayo Balogun"/>
        <s v="Joy Eze"/>
        <s v="Adebayo Afolabi"/>
        <s v="Samuel Lawal"/>
        <s v="Oluwaseun Yusuf"/>
        <s v="David Balogun"/>
        <s v="Esther Bello"/>
        <s v="Blessing Musa"/>
        <s v="Emeka Okoro"/>
        <s v="Adebayo Musa"/>
        <s v="Abdul Okoro"/>
        <s v="Zainab Nwosu"/>
        <s v="Chinedu Bello"/>
        <s v="Maryam Obi"/>
        <s v="Blessing Ajayi"/>
        <s v="Oluwaseun Balogun"/>
        <s v="Ngozi Musa"/>
        <s v="Zainab Abdullahi"/>
        <s v="Esther Obi"/>
        <s v="Ibrahim Afolabi"/>
        <s v="Samuel Nwosu"/>
        <s v="Ruth Ajayi"/>
        <s v="Ibrahim Yusuf"/>
        <s v="Abdul Bello"/>
        <s v="David Ajayi"/>
        <s v="Zainab Lawal"/>
        <s v="Oluwaseun Umeh"/>
        <s v="Oluwaseun Okoro"/>
        <s v="Abdul Eze"/>
        <s v="Kemi Ibrahim"/>
        <s v="Ibrahim Ibrahim"/>
        <s v="Ibrahim Lawal"/>
        <s v="David Bello"/>
        <s v="Kemi Obi"/>
        <s v="Emeka Akinola"/>
        <s v="Peter Umeh"/>
        <s v="Emeka Obi"/>
        <s v="Joy Lawal"/>
        <s v="Samuel Eze"/>
        <s v="Esther Ajayi"/>
        <s v="Ibrahim Eze"/>
        <s v="Abdul Yusuf"/>
        <s v="Joy Musa"/>
        <s v="Tunde Ibrahim"/>
        <s v="Maryam Ajayi"/>
        <s v="Joy Akinola"/>
        <s v="Adebayo Onyeka"/>
        <s v="Samuel Afolabi"/>
        <s v="Adebayo Ibrahim"/>
        <s v="Kemi Onyeka"/>
        <s v="Tunde Afolabi"/>
        <s v="Chinedu Umeh"/>
        <s v="Emeka Bello"/>
        <s v="Fatima Obi"/>
        <s v="Esther Ojo"/>
        <s v="Joy Umeh"/>
        <s v="Esther Afolabi"/>
        <s v="Esther Yusuf"/>
        <s v="Zainab Akinola"/>
        <s v="Chinedu Okafor"/>
        <s v="Zainab Musa"/>
        <s v="Chioma Adeyemi"/>
        <s v="John Test"/>
        <m/>
      </sharedItems>
    </cacheField>
    <cacheField name="Department" numFmtId="0">
      <sharedItems containsBlank="1" count="14">
        <s v="Procurement"/>
        <s v="Finance"/>
        <s v="Operations"/>
        <s v="Marketing"/>
        <s v="Logistics"/>
        <s v="I.T"/>
        <s v="Human Resources"/>
        <s v="Sales"/>
        <s v="Customer Success"/>
        <s v="Legal"/>
        <s v="NA"/>
        <m/>
        <s v="CustomerNASuccess" u="1"/>
        <s v="HumanNAResources" u="1"/>
      </sharedItems>
    </cacheField>
    <cacheField name="Salary (NGN)" numFmtId="0">
      <sharedItems containsString="0" containsBlank="1" containsNumber="1" containsInteger="1" minValue="221427" maxValue="849588"/>
    </cacheField>
    <cacheField name="Bonus (NGN)" numFmtId="0">
      <sharedItems containsString="0" containsBlank="1" containsNumber="1" containsInteger="1" minValue="0" maxValue="89904"/>
    </cacheField>
    <cacheField name="PAYE Tax (NGN)" numFmtId="0">
      <sharedItems containsString="0" containsBlank="1" containsNumber="1" containsInteger="1" minValue="24357" maxValue="93455"/>
    </cacheField>
    <cacheField name="Total Attendance Records" numFmtId="0">
      <sharedItems containsString="0" containsBlank="1" containsNumber="1" containsInteger="1" minValue="13" maxValue="15"/>
    </cacheField>
    <cacheField name="Total Hours Worked" numFmtId="0">
      <sharedItems containsString="0" containsBlank="1" containsNumber="1" minValue="60.600000000000009" maxValue="124.6"/>
    </cacheField>
    <cacheField name="Attendance Rate" numFmtId="0">
      <sharedItems containsString="0" containsBlank="1" containsNumber="1" minValue="0.35714285714285698" maxValue="1"/>
    </cacheField>
    <cacheField name="Total Leave Days" numFmtId="0">
      <sharedItems containsString="0" containsBlank="1" containsNumber="1" containsInteger="1" minValue="0" maxValue="33"/>
    </cacheField>
    <cacheField name="Number of Leave Request" numFmtId="0">
      <sharedItems containsString="0" containsBlank="1" containsNumber="1" containsInteger="1" minValue="0" maxValue="4"/>
    </cacheField>
    <cacheField name="Performance Score" numFmtId="0">
      <sharedItems containsString="0" containsBlank="1" containsNumber="1" containsInteger="1" minValue="0" maxValue="100"/>
    </cacheField>
    <cacheField name="Manager" numFmtId="0">
      <sharedItems containsBlank="1" count="6">
        <s v="Sarah Johnson"/>
        <s v="Daniel Eze"/>
        <s v="Grace Okafor"/>
        <s v="Not Assigned"/>
        <s v="Michael Brown"/>
        <m/>
      </sharedItems>
    </cacheField>
    <cacheField name="Rating" numFmtId="0">
      <sharedItems containsBlank="1" count="6">
        <s v="Outstanding"/>
        <s v="Meets Expectations"/>
        <s v="Needs Improvement"/>
        <s v="Exceeds Expectations"/>
        <s v="Not Reviewed"/>
        <m/>
      </sharedItems>
    </cacheField>
  </cacheFields>
  <extLst>
    <ext xmlns:x14="http://schemas.microsoft.com/office/spreadsheetml/2009/9/main" uri="{725AE2AE-9491-48be-B2B4-4EB974FC3084}">
      <x14:pivotCacheDefinition pivotCacheId="1413676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EMP0001"/>
    <x v="0"/>
    <x v="0"/>
    <n v="315940"/>
    <n v="74823"/>
    <n v="34753"/>
    <n v="14"/>
    <n v="77.8"/>
    <n v="0.64285714285714302"/>
    <n v="0"/>
    <n v="0"/>
    <n v="93"/>
    <x v="0"/>
    <x v="0"/>
  </r>
  <r>
    <s v="EMP0002"/>
    <x v="1"/>
    <x v="1"/>
    <n v="370992"/>
    <n v="45527"/>
    <n v="40809"/>
    <n v="15"/>
    <n v="105.7"/>
    <n v="0.8"/>
    <n v="14"/>
    <n v="1"/>
    <n v="72"/>
    <x v="1"/>
    <x v="1"/>
  </r>
  <r>
    <s v="EMP0003"/>
    <x v="2"/>
    <x v="2"/>
    <n v="437815"/>
    <n v="4660"/>
    <n v="48160"/>
    <n v="14"/>
    <n v="94.9"/>
    <n v="0.78571428571428603"/>
    <n v="17"/>
    <n v="2"/>
    <n v="98"/>
    <x v="2"/>
    <x v="0"/>
  </r>
  <r>
    <s v="EMP0004"/>
    <x v="3"/>
    <x v="3"/>
    <n v="577920"/>
    <n v="31524"/>
    <n v="63571"/>
    <n v="15"/>
    <n v="89.6"/>
    <n v="0.46666666666666701"/>
    <n v="0"/>
    <n v="0"/>
    <n v="61"/>
    <x v="2"/>
    <x v="2"/>
  </r>
  <r>
    <s v="EMP0218"/>
    <x v="4"/>
    <x v="1"/>
    <n v="562062"/>
    <n v="36900"/>
    <n v="61827"/>
    <n v="15"/>
    <n v="84.699999999999989"/>
    <n v="0.53333333333333299"/>
    <n v="7"/>
    <n v="2"/>
    <n v="76"/>
    <x v="3"/>
    <x v="1"/>
  </r>
  <r>
    <s v="EMP0005"/>
    <x v="5"/>
    <x v="2"/>
    <n v="309962"/>
    <n v="60189"/>
    <n v="34096"/>
    <n v="15"/>
    <n v="103.9"/>
    <n v="0.66666666666666696"/>
    <n v="0"/>
    <n v="0"/>
    <n v="66"/>
    <x v="1"/>
    <x v="2"/>
  </r>
  <r>
    <s v="EMP0006"/>
    <x v="6"/>
    <x v="4"/>
    <n v="615040"/>
    <n v="28333"/>
    <n v="67654"/>
    <n v="15"/>
    <n v="119.9"/>
    <n v="1"/>
    <n v="0"/>
    <n v="0"/>
    <n v="69"/>
    <x v="0"/>
    <x v="2"/>
  </r>
  <r>
    <s v="EMP0007"/>
    <x v="7"/>
    <x v="0"/>
    <n v="423662"/>
    <n v="25279"/>
    <n v="46603"/>
    <n v="15"/>
    <n v="119.1"/>
    <n v="0.86666666666666703"/>
    <n v="0"/>
    <n v="0"/>
    <n v="56"/>
    <x v="2"/>
    <x v="2"/>
  </r>
  <r>
    <s v="EMP0111"/>
    <x v="8"/>
    <x v="4"/>
    <n v="246316"/>
    <n v="47204"/>
    <n v="27095"/>
    <n v="15"/>
    <n v="102.6"/>
    <n v="0.73333333333333295"/>
    <n v="13"/>
    <n v="1"/>
    <n v="99"/>
    <x v="0"/>
    <x v="0"/>
  </r>
  <r>
    <s v="EMP0008"/>
    <x v="9"/>
    <x v="1"/>
    <n v="384575"/>
    <n v="72061"/>
    <n v="42303"/>
    <n v="15"/>
    <n v="113.89999999999999"/>
    <n v="0.8"/>
    <n v="0"/>
    <n v="0"/>
    <n v="82"/>
    <x v="2"/>
    <x v="3"/>
  </r>
  <r>
    <s v="EMP0009"/>
    <x v="10"/>
    <x v="0"/>
    <n v="695367"/>
    <n v="38954"/>
    <n v="76490"/>
    <n v="15"/>
    <n v="112.20000000000002"/>
    <n v="0.93333333333333302"/>
    <n v="0"/>
    <n v="0"/>
    <n v="96"/>
    <x v="1"/>
    <x v="0"/>
  </r>
  <r>
    <s v="EMP0010"/>
    <x v="11"/>
    <x v="0"/>
    <n v="375205"/>
    <n v="32680"/>
    <m/>
    <n v="15"/>
    <n v="102.79999999999998"/>
    <n v="0.86666666666666703"/>
    <n v="0"/>
    <n v="0"/>
    <n v="63"/>
    <x v="3"/>
    <x v="2"/>
  </r>
  <r>
    <s v="EMP0011"/>
    <x v="12"/>
    <x v="5"/>
    <n v="599882"/>
    <n v="64192"/>
    <n v="65987"/>
    <n v="15"/>
    <n v="108.1"/>
    <n v="0.86666666666666703"/>
    <n v="0"/>
    <n v="0"/>
    <n v="73"/>
    <x v="3"/>
    <x v="1"/>
  </r>
  <r>
    <s v="EMP0148"/>
    <x v="13"/>
    <x v="1"/>
    <n v="446625"/>
    <n v="21283"/>
    <m/>
    <n v="15"/>
    <n v="112"/>
    <n v="0.8"/>
    <n v="8"/>
    <n v="1"/>
    <n v="80"/>
    <x v="4"/>
    <x v="3"/>
  </r>
  <r>
    <s v="EMP0012"/>
    <x v="14"/>
    <x v="1"/>
    <n v="699898"/>
    <n v="36379"/>
    <n v="76989"/>
    <n v="15"/>
    <n v="104.89999999999999"/>
    <n v="0.73333333333333295"/>
    <n v="0"/>
    <n v="0"/>
    <n v="78"/>
    <x v="1"/>
    <x v="1"/>
  </r>
  <r>
    <s v="EMP0013"/>
    <x v="15"/>
    <x v="1"/>
    <n v="632081"/>
    <n v="56747"/>
    <n v="69529"/>
    <n v="15"/>
    <n v="107.7"/>
    <n v="0.73333333333333295"/>
    <n v="0"/>
    <n v="0"/>
    <n v="89"/>
    <x v="0"/>
    <x v="3"/>
  </r>
  <r>
    <s v="EMP0014"/>
    <x v="16"/>
    <x v="3"/>
    <n v="716947"/>
    <n v="3988"/>
    <n v="78864"/>
    <n v="15"/>
    <n v="102.20000000000002"/>
    <n v="0.8"/>
    <n v="0"/>
    <n v="0"/>
    <n v="75"/>
    <x v="0"/>
    <x v="1"/>
  </r>
  <r>
    <s v="EMP0015"/>
    <x v="17"/>
    <x v="1"/>
    <n v="764213"/>
    <n v="82827"/>
    <n v="84063"/>
    <n v="15"/>
    <n v="87.199999999999989"/>
    <n v="0.66666666666666696"/>
    <n v="0"/>
    <n v="0"/>
    <n v="56"/>
    <x v="0"/>
    <x v="2"/>
  </r>
  <r>
    <s v="EMP0016"/>
    <x v="18"/>
    <x v="6"/>
    <n v="777470"/>
    <n v="14779"/>
    <n v="85522"/>
    <n v="15"/>
    <n v="103.1"/>
    <n v="0.86666666666666703"/>
    <n v="0"/>
    <n v="0"/>
    <n v="81"/>
    <x v="2"/>
    <x v="3"/>
  </r>
  <r>
    <s v="EMP0017"/>
    <x v="19"/>
    <x v="5"/>
    <n v="541764"/>
    <n v="48384"/>
    <n v="59594"/>
    <n v="15"/>
    <n v="88.5"/>
    <n v="0.6"/>
    <n v="0"/>
    <n v="0"/>
    <n v="89"/>
    <x v="3"/>
    <x v="3"/>
  </r>
  <r>
    <s v="EMP0018"/>
    <x v="20"/>
    <x v="6"/>
    <n v="385257"/>
    <n v="27744"/>
    <n v="42378"/>
    <n v="15"/>
    <n v="106.2"/>
    <n v="0.66666666666666696"/>
    <n v="0"/>
    <n v="0"/>
    <n v="82"/>
    <x v="2"/>
    <x v="3"/>
  </r>
  <r>
    <s v="EMP0019"/>
    <x v="21"/>
    <x v="6"/>
    <n v="847791"/>
    <n v="84226"/>
    <n v="93257"/>
    <n v="15"/>
    <n v="81.2"/>
    <n v="0.53333333333333299"/>
    <n v="14"/>
    <n v="1"/>
    <n v="79"/>
    <x v="3"/>
    <x v="1"/>
  </r>
  <r>
    <s v="EMP0020"/>
    <x v="22"/>
    <x v="6"/>
    <n v="777059"/>
    <n v="15425"/>
    <n v="85476"/>
    <n v="15"/>
    <n v="96.299999999999983"/>
    <n v="0.53333333333333299"/>
    <n v="0"/>
    <n v="0"/>
    <n v="56"/>
    <x v="4"/>
    <x v="2"/>
  </r>
  <r>
    <s v="EMP0021"/>
    <x v="23"/>
    <x v="4"/>
    <n v="459265"/>
    <n v="47709"/>
    <n v="50519"/>
    <n v="15"/>
    <n v="80.8"/>
    <n v="0.6"/>
    <n v="0"/>
    <n v="0"/>
    <n v="73"/>
    <x v="3"/>
    <x v="1"/>
  </r>
  <r>
    <s v="EMP0167"/>
    <x v="24"/>
    <x v="5"/>
    <n v="822265"/>
    <n v="29503"/>
    <n v="90449"/>
    <n v="15"/>
    <n v="107.5"/>
    <n v="0.73333333333333295"/>
    <n v="24"/>
    <n v="4"/>
    <n v="55"/>
    <x v="3"/>
    <x v="2"/>
  </r>
  <r>
    <s v="EMP0022"/>
    <x v="25"/>
    <x v="3"/>
    <n v="786075"/>
    <n v="37210"/>
    <n v="86468"/>
    <n v="15"/>
    <n v="119.6"/>
    <n v="1"/>
    <n v="8"/>
    <n v="1"/>
    <n v="71"/>
    <x v="0"/>
    <x v="1"/>
  </r>
  <r>
    <s v="EMP0023"/>
    <x v="26"/>
    <x v="0"/>
    <n v="498050"/>
    <n v="68003"/>
    <n v="54786"/>
    <n v="15"/>
    <n v="106.4"/>
    <n v="0.8"/>
    <n v="0"/>
    <n v="0"/>
    <n v="87"/>
    <x v="4"/>
    <x v="3"/>
  </r>
  <r>
    <s v="EMP0024"/>
    <x v="27"/>
    <x v="6"/>
    <n v="813434"/>
    <n v="4591"/>
    <n v="89478"/>
    <n v="15"/>
    <n v="114.1"/>
    <n v="0.73333333333333295"/>
    <n v="0"/>
    <n v="0"/>
    <n v="83"/>
    <x v="4"/>
    <x v="3"/>
  </r>
  <r>
    <s v="EMP0025"/>
    <x v="28"/>
    <x v="7"/>
    <n v="625517"/>
    <n v="38822"/>
    <n v="68807"/>
    <n v="15"/>
    <n v="113.4"/>
    <n v="0.73333333333333295"/>
    <n v="0"/>
    <n v="0"/>
    <n v="81"/>
    <x v="3"/>
    <x v="3"/>
  </r>
  <r>
    <s v="EMP0026"/>
    <x v="29"/>
    <x v="2"/>
    <n v="361659"/>
    <n v="11848"/>
    <n v="39782"/>
    <n v="15"/>
    <n v="90.8"/>
    <n v="0.6"/>
    <n v="14"/>
    <n v="1"/>
    <n v="70"/>
    <x v="3"/>
    <x v="1"/>
  </r>
  <r>
    <s v="EMP0164"/>
    <x v="30"/>
    <x v="8"/>
    <n v="517411"/>
    <n v="66528"/>
    <n v="56915"/>
    <n v="14"/>
    <n v="100.79999999999998"/>
    <n v="0.78571428571428603"/>
    <n v="9"/>
    <n v="1"/>
    <n v="76"/>
    <x v="2"/>
    <x v="1"/>
  </r>
  <r>
    <s v="EMP0027"/>
    <x v="31"/>
    <x v="1"/>
    <n v="810537"/>
    <n v="25851"/>
    <n v="89159"/>
    <n v="14"/>
    <n v="98.7"/>
    <n v="0.78571428571428603"/>
    <n v="10"/>
    <n v="3"/>
    <n v="62"/>
    <x v="0"/>
    <x v="2"/>
  </r>
  <r>
    <s v="EMP0028"/>
    <x v="32"/>
    <x v="8"/>
    <n v="492219"/>
    <n v="80668"/>
    <n v="54144"/>
    <n v="15"/>
    <n v="115"/>
    <n v="0.86666666666666703"/>
    <n v="0"/>
    <n v="0"/>
    <n v="100"/>
    <x v="1"/>
    <x v="0"/>
  </r>
  <r>
    <s v="EMP0029"/>
    <x v="33"/>
    <x v="2"/>
    <n v="445298"/>
    <n v="78164"/>
    <n v="48983"/>
    <n v="15"/>
    <n v="103.89999999999999"/>
    <n v="0.6"/>
    <n v="0"/>
    <n v="0"/>
    <n v="69"/>
    <x v="2"/>
    <x v="2"/>
  </r>
  <r>
    <s v="EMP0291"/>
    <x v="34"/>
    <x v="7"/>
    <n v="474637"/>
    <n v="53398"/>
    <n v="52210"/>
    <n v="15"/>
    <n v="97.000000000000014"/>
    <n v="0.8"/>
    <n v="22"/>
    <n v="2"/>
    <n v="93"/>
    <x v="4"/>
    <x v="0"/>
  </r>
  <r>
    <s v="EMP0030"/>
    <x v="35"/>
    <x v="3"/>
    <n v="378430"/>
    <n v="30079"/>
    <n v="41627"/>
    <n v="15"/>
    <n v="101.6"/>
    <n v="0.8"/>
    <n v="0"/>
    <n v="0"/>
    <n v="64"/>
    <x v="3"/>
    <x v="2"/>
  </r>
  <r>
    <s v="EMP0031"/>
    <x v="36"/>
    <x v="7"/>
    <n v="788192"/>
    <n v="87690"/>
    <n v="86701"/>
    <n v="15"/>
    <n v="102.69999999999999"/>
    <n v="0.8"/>
    <n v="2"/>
    <n v="1"/>
    <n v="59"/>
    <x v="0"/>
    <x v="2"/>
  </r>
  <r>
    <s v="EMP0032"/>
    <x v="37"/>
    <x v="5"/>
    <n v="611342"/>
    <n v="36372"/>
    <n v="67248"/>
    <n v="15"/>
    <n v="111.30000000000001"/>
    <n v="0.73333333333333295"/>
    <n v="6"/>
    <n v="1"/>
    <n v="61"/>
    <x v="1"/>
    <x v="2"/>
  </r>
  <r>
    <s v="EMP0033"/>
    <x v="22"/>
    <x v="6"/>
    <n v="552022"/>
    <n v="8198"/>
    <n v="60722"/>
    <n v="15"/>
    <n v="103.4"/>
    <n v="0.73333333333333295"/>
    <n v="0"/>
    <n v="0"/>
    <n v="66"/>
    <x v="1"/>
    <x v="2"/>
  </r>
  <r>
    <s v="EMP0034"/>
    <x v="38"/>
    <x v="4"/>
    <n v="319226"/>
    <n v="46560"/>
    <n v="35115"/>
    <n v="15"/>
    <n v="110.8"/>
    <n v="0.73333333333333295"/>
    <n v="0"/>
    <n v="0"/>
    <n v="69"/>
    <x v="0"/>
    <x v="2"/>
  </r>
  <r>
    <s v="EMP0035"/>
    <x v="39"/>
    <x v="2"/>
    <n v="470621"/>
    <n v="39610"/>
    <n v="51768"/>
    <n v="15"/>
    <n v="108.20000000000002"/>
    <n v="0.73333333333333295"/>
    <n v="11"/>
    <n v="1"/>
    <n v="70"/>
    <x v="3"/>
    <x v="1"/>
  </r>
  <r>
    <s v="EMP0036"/>
    <x v="40"/>
    <x v="1"/>
    <n v="414144"/>
    <n v="67484"/>
    <n v="45556"/>
    <n v="15"/>
    <n v="96.4"/>
    <n v="0.73333333333333295"/>
    <n v="0"/>
    <n v="0"/>
    <n v="76"/>
    <x v="3"/>
    <x v="1"/>
  </r>
  <r>
    <s v="EMP0037"/>
    <x v="41"/>
    <x v="0"/>
    <n v="754711"/>
    <n v="29239"/>
    <n v="83018"/>
    <n v="15"/>
    <n v="93"/>
    <n v="0.66666666666666696"/>
    <n v="0"/>
    <n v="0"/>
    <n v="69"/>
    <x v="3"/>
    <x v="2"/>
  </r>
  <r>
    <s v="EMP0038"/>
    <x v="42"/>
    <x v="0"/>
    <n v="810777"/>
    <n v="48438"/>
    <n v="89185"/>
    <n v="14"/>
    <n v="97.4"/>
    <n v="0.78571428571428603"/>
    <n v="0"/>
    <n v="0"/>
    <n v="88"/>
    <x v="1"/>
    <x v="3"/>
  </r>
  <r>
    <s v="EMP0101"/>
    <x v="43"/>
    <x v="5"/>
    <n v="571070"/>
    <n v="41095"/>
    <n v="62818"/>
    <n v="15"/>
    <n v="109.60000000000001"/>
    <n v="0.86666666666666703"/>
    <n v="16"/>
    <n v="2"/>
    <n v="77"/>
    <x v="1"/>
    <x v="1"/>
  </r>
  <r>
    <s v="EMP0039"/>
    <x v="44"/>
    <x v="3"/>
    <n v="636057"/>
    <n v="25794"/>
    <n v="69966"/>
    <n v="15"/>
    <n v="112.7"/>
    <n v="0.86666666666666703"/>
    <n v="0"/>
    <n v="0"/>
    <n v="76"/>
    <x v="3"/>
    <x v="1"/>
  </r>
  <r>
    <s v="EMP0040"/>
    <x v="45"/>
    <x v="3"/>
    <n v="524755"/>
    <n v="31322"/>
    <n v="57723"/>
    <n v="15"/>
    <n v="86.199999999999989"/>
    <n v="0.73333333333333295"/>
    <n v="0"/>
    <n v="0"/>
    <n v="67"/>
    <x v="3"/>
    <x v="2"/>
  </r>
  <r>
    <s v="EMP0041"/>
    <x v="46"/>
    <x v="0"/>
    <n v="556164"/>
    <n v="6742"/>
    <n v="61178"/>
    <n v="14"/>
    <n v="106.2"/>
    <n v="0.71428571428571397"/>
    <n v="0"/>
    <n v="0"/>
    <n v="94"/>
    <x v="3"/>
    <x v="0"/>
  </r>
  <r>
    <s v="EMP0209"/>
    <x v="47"/>
    <x v="5"/>
    <n v="638974"/>
    <n v="44703"/>
    <n v="70287"/>
    <n v="15"/>
    <n v="109.50000000000001"/>
    <n v="0.66666666666666696"/>
    <n v="6"/>
    <n v="1"/>
    <n v="78"/>
    <x v="4"/>
    <x v="1"/>
  </r>
  <r>
    <s v="EMP0042"/>
    <x v="48"/>
    <x v="9"/>
    <n v="311727"/>
    <n v="74686"/>
    <n v="34290"/>
    <n v="15"/>
    <n v="93.3"/>
    <n v="0.73333333333333295"/>
    <n v="0"/>
    <n v="0"/>
    <n v="68"/>
    <x v="0"/>
    <x v="2"/>
  </r>
  <r>
    <s v="EMP0043"/>
    <x v="42"/>
    <x v="7"/>
    <n v="719619"/>
    <n v="7776"/>
    <n v="79158"/>
    <n v="15"/>
    <n v="112.9"/>
    <n v="0.66666666666666696"/>
    <n v="0"/>
    <n v="0"/>
    <n v="69"/>
    <x v="2"/>
    <x v="2"/>
  </r>
  <r>
    <s v="EMP0044"/>
    <x v="49"/>
    <x v="2"/>
    <n v="687407"/>
    <n v="56807"/>
    <n v="75615"/>
    <n v="15"/>
    <n v="103.19999999999997"/>
    <n v="0.86666666666666703"/>
    <n v="0"/>
    <n v="0"/>
    <n v="69"/>
    <x v="1"/>
    <x v="2"/>
  </r>
  <r>
    <s v="EMP0045"/>
    <x v="50"/>
    <x v="4"/>
    <n v="803041"/>
    <n v="84686"/>
    <n v="88335"/>
    <n v="14"/>
    <n v="96.6"/>
    <n v="0.78571428571428603"/>
    <n v="10"/>
    <n v="1"/>
    <n v="69"/>
    <x v="2"/>
    <x v="2"/>
  </r>
  <r>
    <s v="EMP0046"/>
    <x v="51"/>
    <x v="7"/>
    <n v="594628"/>
    <n v="87239"/>
    <n v="65409"/>
    <n v="15"/>
    <n v="104.9"/>
    <n v="0.73333333333333295"/>
    <n v="14"/>
    <n v="1"/>
    <n v="70"/>
    <x v="3"/>
    <x v="1"/>
  </r>
  <r>
    <s v="EMP0047"/>
    <x v="11"/>
    <x v="6"/>
    <n v="695709"/>
    <n v="22720"/>
    <n v="76528"/>
    <n v="14"/>
    <n v="105.39999999999999"/>
    <n v="0.78571428571428603"/>
    <n v="0"/>
    <n v="0"/>
    <n v="74"/>
    <x v="2"/>
    <x v="1"/>
  </r>
  <r>
    <s v="EMP0048"/>
    <x v="52"/>
    <x v="7"/>
    <n v="457800"/>
    <n v="41715"/>
    <n v="50358"/>
    <n v="14"/>
    <n v="89.3"/>
    <n v="0.71428571428571397"/>
    <n v="0"/>
    <n v="0"/>
    <n v="75"/>
    <x v="2"/>
    <x v="1"/>
  </r>
  <r>
    <s v="EMP0294"/>
    <x v="53"/>
    <x v="2"/>
    <n v="790379"/>
    <n v="89904"/>
    <n v="86942"/>
    <n v="15"/>
    <n v="112.7"/>
    <n v="0.8"/>
    <n v="2"/>
    <n v="1"/>
    <n v="71"/>
    <x v="0"/>
    <x v="1"/>
  </r>
  <r>
    <s v="EMP0049"/>
    <x v="54"/>
    <x v="8"/>
    <n v="331582"/>
    <n v="83695"/>
    <n v="36474"/>
    <n v="15"/>
    <n v="108.8"/>
    <n v="0.73333333333333295"/>
    <n v="0"/>
    <n v="0"/>
    <n v="76"/>
    <x v="0"/>
    <x v="1"/>
  </r>
  <r>
    <s v="EMP0050"/>
    <x v="22"/>
    <x v="0"/>
    <n v="337116"/>
    <n v="50943"/>
    <n v="37083"/>
    <n v="15"/>
    <n v="99.899999999999991"/>
    <n v="0.86666666666666703"/>
    <n v="9"/>
    <n v="1"/>
    <n v="83"/>
    <x v="0"/>
    <x v="3"/>
  </r>
  <r>
    <s v="EMP0071"/>
    <x v="55"/>
    <x v="2"/>
    <n v="571664"/>
    <n v="74731"/>
    <n v="62883"/>
    <n v="15"/>
    <n v="93.7"/>
    <n v="0.8"/>
    <n v="10"/>
    <n v="3"/>
    <n v="64"/>
    <x v="1"/>
    <x v="2"/>
  </r>
  <r>
    <s v="EMP0051"/>
    <x v="56"/>
    <x v="9"/>
    <n v="299812"/>
    <n v="37807"/>
    <n v="32979"/>
    <n v="15"/>
    <n v="112.9"/>
    <n v="0.93333333333333302"/>
    <n v="3"/>
    <n v="1"/>
    <n v="81"/>
    <x v="1"/>
    <x v="3"/>
  </r>
  <r>
    <s v="EMP0052"/>
    <x v="57"/>
    <x v="5"/>
    <n v="609500"/>
    <n v="59896"/>
    <n v="67045"/>
    <n v="15"/>
    <n v="117.7"/>
    <n v="0.86666666666666703"/>
    <n v="6"/>
    <n v="1"/>
    <n v="80"/>
    <x v="0"/>
    <x v="3"/>
  </r>
  <r>
    <s v="EMP0373"/>
    <x v="58"/>
    <x v="8"/>
    <n v="458794"/>
    <n v="76937"/>
    <n v="50467"/>
    <n v="15"/>
    <n v="113"/>
    <n v="0.66666666666666696"/>
    <n v="11"/>
    <n v="1"/>
    <n v="79"/>
    <x v="3"/>
    <x v="1"/>
  </r>
  <r>
    <s v="EMP0053"/>
    <x v="59"/>
    <x v="2"/>
    <n v="236459"/>
    <n v="746"/>
    <n v="26010"/>
    <n v="15"/>
    <n v="95.499999999999986"/>
    <n v="0.66666666666666696"/>
    <n v="0"/>
    <n v="0"/>
    <n v="84"/>
    <x v="3"/>
    <x v="3"/>
  </r>
  <r>
    <s v="EMP0054"/>
    <x v="60"/>
    <x v="3"/>
    <n v="640995"/>
    <n v="45908"/>
    <n v="70509"/>
    <n v="15"/>
    <n v="97.4"/>
    <n v="0.6"/>
    <n v="0"/>
    <n v="0"/>
    <n v="57"/>
    <x v="3"/>
    <x v="2"/>
  </r>
  <r>
    <s v="EMP0055"/>
    <x v="61"/>
    <x v="4"/>
    <n v="351565"/>
    <n v="51330"/>
    <m/>
    <n v="14"/>
    <n v="104"/>
    <n v="0.92857142857142905"/>
    <n v="7"/>
    <n v="1"/>
    <n v="58"/>
    <x v="3"/>
    <x v="2"/>
  </r>
  <r>
    <s v="EMP0056"/>
    <x v="62"/>
    <x v="2"/>
    <n v="460506"/>
    <n v="65953"/>
    <n v="50656"/>
    <n v="15"/>
    <n v="117.39999999999998"/>
    <n v="0.93333333333333302"/>
    <n v="11"/>
    <n v="1"/>
    <n v="86"/>
    <x v="1"/>
    <x v="3"/>
  </r>
  <r>
    <s v="EMP0057"/>
    <x v="63"/>
    <x v="2"/>
    <n v="674308"/>
    <n v="7120"/>
    <n v="74174"/>
    <n v="15"/>
    <n v="114.2"/>
    <n v="0.86666666666666703"/>
    <n v="0"/>
    <n v="0"/>
    <n v="68"/>
    <x v="3"/>
    <x v="2"/>
  </r>
  <r>
    <s v="EMP0058"/>
    <x v="64"/>
    <x v="9"/>
    <n v="441231"/>
    <n v="72367"/>
    <n v="48535"/>
    <n v="15"/>
    <n v="110.7"/>
    <n v="0.73333333333333295"/>
    <n v="10"/>
    <n v="1"/>
    <n v="79"/>
    <x v="0"/>
    <x v="1"/>
  </r>
  <r>
    <s v="EMP0059"/>
    <x v="65"/>
    <x v="7"/>
    <n v="398624"/>
    <n v="54790"/>
    <n v="43849"/>
    <n v="15"/>
    <n v="90.600000000000009"/>
    <n v="0.8"/>
    <n v="0"/>
    <n v="0"/>
    <n v="100"/>
    <x v="2"/>
    <x v="0"/>
  </r>
  <r>
    <s v="EMP0060"/>
    <x v="66"/>
    <x v="3"/>
    <n v="324540"/>
    <n v="40222"/>
    <n v="35699"/>
    <n v="15"/>
    <n v="98.500000000000028"/>
    <n v="0.73333333333333295"/>
    <n v="8"/>
    <n v="1"/>
    <n v="70"/>
    <x v="2"/>
    <x v="1"/>
  </r>
  <r>
    <s v="EMP0061"/>
    <x v="48"/>
    <x v="3"/>
    <n v="420990"/>
    <n v="13373"/>
    <n v="46309"/>
    <n v="15"/>
    <n v="104.60000000000001"/>
    <n v="0.86666666666666703"/>
    <n v="0"/>
    <n v="0"/>
    <n v="69"/>
    <x v="2"/>
    <x v="2"/>
  </r>
  <r>
    <s v="EMP0098"/>
    <x v="67"/>
    <x v="6"/>
    <n v="247675"/>
    <n v="36933"/>
    <n v="27244"/>
    <n v="15"/>
    <n v="109.2"/>
    <n v="0.73333333333333295"/>
    <n v="13"/>
    <n v="1"/>
    <n v="72"/>
    <x v="1"/>
    <x v="1"/>
  </r>
  <r>
    <s v="EMP0062"/>
    <x v="68"/>
    <x v="8"/>
    <n v="518663"/>
    <n v="50477"/>
    <n v="57053"/>
    <n v="15"/>
    <n v="97.7"/>
    <n v="0.8"/>
    <n v="0"/>
    <n v="0"/>
    <n v="80"/>
    <x v="3"/>
    <x v="3"/>
  </r>
  <r>
    <s v="EMP0063"/>
    <x v="69"/>
    <x v="3"/>
    <n v="267259"/>
    <n v="53241"/>
    <m/>
    <n v="15"/>
    <n v="101.5"/>
    <n v="0.86666666666666703"/>
    <n v="0"/>
    <n v="0"/>
    <n v="89"/>
    <x v="3"/>
    <x v="3"/>
  </r>
  <r>
    <s v="EMP0064"/>
    <x v="70"/>
    <x v="9"/>
    <n v="420388"/>
    <n v="55544"/>
    <n v="46243"/>
    <n v="14"/>
    <n v="106.69999999999999"/>
    <n v="0.78571428571428603"/>
    <n v="9"/>
    <n v="1"/>
    <n v="65"/>
    <x v="1"/>
    <x v="2"/>
  </r>
  <r>
    <s v="EMP0140"/>
    <x v="71"/>
    <x v="7"/>
    <n v="703674"/>
    <n v="67191"/>
    <n v="77404"/>
    <n v="15"/>
    <n v="112.10000000000001"/>
    <n v="0.8"/>
    <n v="6"/>
    <n v="1"/>
    <n v="60"/>
    <x v="3"/>
    <x v="2"/>
  </r>
  <r>
    <s v="EMP0065"/>
    <x v="72"/>
    <x v="0"/>
    <n v="241690"/>
    <n v="65041"/>
    <n v="26586"/>
    <n v="15"/>
    <n v="111.8"/>
    <n v="0.8"/>
    <n v="0"/>
    <n v="0"/>
    <n v="93"/>
    <x v="2"/>
    <x v="0"/>
  </r>
  <r>
    <s v="EMP0066"/>
    <x v="73"/>
    <x v="2"/>
    <n v="225561"/>
    <n v="39685"/>
    <n v="24812"/>
    <n v="15"/>
    <n v="112.6"/>
    <n v="0.86666666666666703"/>
    <n v="0"/>
    <n v="0"/>
    <n v="100"/>
    <x v="1"/>
    <x v="0"/>
  </r>
  <r>
    <s v="EMP0067"/>
    <x v="44"/>
    <x v="3"/>
    <n v="241825"/>
    <n v="45725"/>
    <n v="26601"/>
    <n v="15"/>
    <n v="111.89999999999999"/>
    <n v="0.93333333333333302"/>
    <n v="0"/>
    <n v="0"/>
    <n v="63"/>
    <x v="3"/>
    <x v="2"/>
  </r>
  <r>
    <s v="EMP0068"/>
    <x v="74"/>
    <x v="9"/>
    <n v="730461"/>
    <n v="77326"/>
    <n v="80351"/>
    <n v="15"/>
    <n v="105.10000000000001"/>
    <n v="0.8"/>
    <n v="0"/>
    <n v="0"/>
    <n v="85"/>
    <x v="4"/>
    <x v="3"/>
  </r>
  <r>
    <s v="EMP0069"/>
    <x v="75"/>
    <x v="9"/>
    <n v="457380"/>
    <n v="76715"/>
    <n v="50312"/>
    <n v="15"/>
    <n v="87.3"/>
    <n v="0.66666666666666696"/>
    <n v="0"/>
    <n v="0"/>
    <n v="61"/>
    <x v="1"/>
    <x v="2"/>
  </r>
  <r>
    <s v="EMP0070"/>
    <x v="76"/>
    <x v="0"/>
    <n v="605941"/>
    <n v="1269"/>
    <n v="66654"/>
    <n v="14"/>
    <n v="80.900000000000006"/>
    <n v="0.64285714285714302"/>
    <n v="0"/>
    <n v="0"/>
    <n v="59"/>
    <x v="0"/>
    <x v="2"/>
  </r>
  <r>
    <s v="EMP0113"/>
    <x v="77"/>
    <x v="7"/>
    <n v="640409"/>
    <n v="61147"/>
    <n v="70445"/>
    <n v="15"/>
    <n v="109.7"/>
    <n v="0.8"/>
    <n v="10"/>
    <n v="1"/>
    <n v="87"/>
    <x v="0"/>
    <x v="3"/>
  </r>
  <r>
    <s v="EMP0072"/>
    <x v="78"/>
    <x v="1"/>
    <n v="382138"/>
    <n v="77981"/>
    <n v="42035"/>
    <n v="15"/>
    <n v="116.50000000000001"/>
    <n v="0.8"/>
    <n v="0"/>
    <n v="0"/>
    <n v="88"/>
    <x v="3"/>
    <x v="3"/>
  </r>
  <r>
    <s v="EMP0241"/>
    <x v="79"/>
    <x v="4"/>
    <n v="589327"/>
    <n v="32441"/>
    <n v="64826"/>
    <n v="15"/>
    <n v="102.30000000000001"/>
    <n v="0.66666666666666696"/>
    <n v="14"/>
    <n v="1"/>
    <n v="60"/>
    <x v="2"/>
    <x v="2"/>
  </r>
  <r>
    <s v="EMP0073"/>
    <x v="80"/>
    <x v="1"/>
    <n v="332979"/>
    <n v="72671"/>
    <n v="36628"/>
    <n v="15"/>
    <n v="111.3"/>
    <n v="0.86666666666666703"/>
    <n v="16"/>
    <n v="3"/>
    <n v="73"/>
    <x v="1"/>
    <x v="1"/>
  </r>
  <r>
    <s v="EMP0074"/>
    <x v="81"/>
    <x v="4"/>
    <n v="228813"/>
    <n v="61243"/>
    <n v="25169"/>
    <n v="15"/>
    <n v="94.2"/>
    <n v="0.73333333333333295"/>
    <n v="0"/>
    <n v="0"/>
    <n v="95"/>
    <x v="0"/>
    <x v="0"/>
  </r>
  <r>
    <s v="EMP0305"/>
    <x v="82"/>
    <x v="6"/>
    <n v="288889"/>
    <n v="53753"/>
    <n v="31778"/>
    <n v="15"/>
    <n v="106.50000000000001"/>
    <n v="0.86666666666666703"/>
    <n v="8"/>
    <n v="1"/>
    <n v="79"/>
    <x v="3"/>
    <x v="1"/>
  </r>
  <r>
    <s v="EMP0075"/>
    <x v="83"/>
    <x v="5"/>
    <n v="616250"/>
    <n v="80069"/>
    <n v="67788"/>
    <n v="15"/>
    <n v="96.1"/>
    <n v="0.6"/>
    <n v="0"/>
    <n v="0"/>
    <n v="94"/>
    <x v="3"/>
    <x v="0"/>
  </r>
  <r>
    <s v="EMP0076"/>
    <x v="84"/>
    <x v="1"/>
    <n v="715645"/>
    <n v="89531"/>
    <n v="78721"/>
    <n v="15"/>
    <n v="105.9"/>
    <n v="0.86666666666666703"/>
    <n v="7"/>
    <n v="1"/>
    <n v="82"/>
    <x v="4"/>
    <x v="3"/>
  </r>
  <r>
    <s v="EMP0077"/>
    <x v="85"/>
    <x v="2"/>
    <n v="632394"/>
    <n v="4538"/>
    <m/>
    <n v="15"/>
    <n v="105.8"/>
    <n v="0.73333333333333295"/>
    <n v="2"/>
    <n v="1"/>
    <n v="80"/>
    <x v="1"/>
    <x v="3"/>
  </r>
  <r>
    <s v="EMP0078"/>
    <x v="14"/>
    <x v="8"/>
    <n v="744341"/>
    <n v="51479"/>
    <n v="81878"/>
    <n v="15"/>
    <n v="103.3"/>
    <n v="0.8"/>
    <n v="0"/>
    <n v="0"/>
    <n v="100"/>
    <x v="4"/>
    <x v="0"/>
  </r>
  <r>
    <s v="EMP0321"/>
    <x v="86"/>
    <x v="5"/>
    <n v="241096"/>
    <n v="47979"/>
    <n v="26521"/>
    <n v="15"/>
    <n v="114.10000000000001"/>
    <n v="0.66666666666666696"/>
    <n v="11"/>
    <n v="1"/>
    <n v="75"/>
    <x v="3"/>
    <x v="1"/>
  </r>
  <r>
    <s v="EMP0079"/>
    <x v="87"/>
    <x v="6"/>
    <n v="515495"/>
    <n v="31240"/>
    <n v="56704"/>
    <n v="15"/>
    <n v="97.000000000000014"/>
    <n v="0.8"/>
    <n v="0"/>
    <n v="0"/>
    <n v="67"/>
    <x v="0"/>
    <x v="2"/>
  </r>
  <r>
    <s v="EMP0080"/>
    <x v="88"/>
    <x v="1"/>
    <n v="502876"/>
    <n v="83386"/>
    <n v="55316"/>
    <n v="15"/>
    <n v="78.7"/>
    <n v="0.66666666666666696"/>
    <n v="0"/>
    <n v="0"/>
    <n v="57"/>
    <x v="2"/>
    <x v="2"/>
  </r>
  <r>
    <s v="EMP0081"/>
    <x v="31"/>
    <x v="2"/>
    <n v="276449"/>
    <n v="83853"/>
    <n v="30409"/>
    <n v="14"/>
    <n v="96.399999999999991"/>
    <n v="0.78571428571428603"/>
    <n v="0"/>
    <n v="0"/>
    <n v="60"/>
    <x v="4"/>
    <x v="2"/>
  </r>
  <r>
    <s v="EMP0082"/>
    <x v="89"/>
    <x v="5"/>
    <n v="567685"/>
    <n v="6666"/>
    <n v="62445"/>
    <n v="15"/>
    <n v="103"/>
    <n v="0.6"/>
    <n v="14"/>
    <n v="1"/>
    <n v="60"/>
    <x v="0"/>
    <x v="2"/>
  </r>
  <r>
    <s v="EMP0083"/>
    <x v="90"/>
    <x v="3"/>
    <n v="837284"/>
    <n v="52541"/>
    <n v="92101"/>
    <n v="15"/>
    <n v="95.100000000000009"/>
    <n v="0.6"/>
    <n v="10"/>
    <n v="2"/>
    <n v="95"/>
    <x v="0"/>
    <x v="0"/>
  </r>
  <r>
    <s v="EMP0267"/>
    <x v="91"/>
    <x v="4"/>
    <n v="584615"/>
    <n v="86436"/>
    <n v="64308"/>
    <n v="15"/>
    <n v="121.9"/>
    <n v="0.73333333333333295"/>
    <n v="9"/>
    <n v="1"/>
    <n v="71"/>
    <x v="2"/>
    <x v="1"/>
  </r>
  <r>
    <s v="EMP0084"/>
    <x v="31"/>
    <x v="6"/>
    <n v="600307"/>
    <n v="49173"/>
    <n v="66034"/>
    <n v="15"/>
    <n v="111.10000000000001"/>
    <n v="0.66666666666666696"/>
    <n v="0"/>
    <n v="0"/>
    <n v="87"/>
    <x v="4"/>
    <x v="3"/>
  </r>
  <r>
    <s v="EMP0085"/>
    <x v="92"/>
    <x v="3"/>
    <n v="630629"/>
    <n v="34518"/>
    <n v="69369"/>
    <n v="15"/>
    <n v="103.9"/>
    <n v="0.73333333333333295"/>
    <n v="14"/>
    <n v="2"/>
    <n v="96"/>
    <x v="0"/>
    <x v="0"/>
  </r>
  <r>
    <s v="EMP0178"/>
    <x v="93"/>
    <x v="5"/>
    <n v="776819"/>
    <n v="39564"/>
    <n v="85450"/>
    <n v="15"/>
    <n v="63.3"/>
    <n v="0.53333333333333299"/>
    <n v="15"/>
    <n v="2"/>
    <n v="68"/>
    <x v="3"/>
    <x v="2"/>
  </r>
  <r>
    <s v="EMP0086"/>
    <x v="94"/>
    <x v="2"/>
    <n v="554916"/>
    <n v="66801"/>
    <n v="61041"/>
    <n v="15"/>
    <n v="103"/>
    <n v="0.73333333333333295"/>
    <n v="6"/>
    <n v="1"/>
    <n v="96"/>
    <x v="3"/>
    <x v="0"/>
  </r>
  <r>
    <s v="EMP0087"/>
    <x v="13"/>
    <x v="9"/>
    <n v="620056"/>
    <n v="83721"/>
    <n v="68206"/>
    <n v="15"/>
    <n v="85.699999999999989"/>
    <n v="0.73333333333333295"/>
    <n v="0"/>
    <n v="0"/>
    <n v="96"/>
    <x v="2"/>
    <x v="0"/>
  </r>
  <r>
    <s v="EMP0088"/>
    <x v="95"/>
    <x v="8"/>
    <n v="839156"/>
    <n v="33423"/>
    <n v="92307"/>
    <n v="15"/>
    <n v="102.2"/>
    <n v="0.6"/>
    <n v="0"/>
    <n v="0"/>
    <n v="90"/>
    <x v="1"/>
    <x v="0"/>
  </r>
  <r>
    <s v="EMP0130"/>
    <x v="96"/>
    <x v="10"/>
    <n v="747394"/>
    <n v="25407"/>
    <n v="82213"/>
    <n v="15"/>
    <n v="104.8"/>
    <n v="0.86666666666666703"/>
    <n v="13"/>
    <n v="1"/>
    <n v="55"/>
    <x v="3"/>
    <x v="2"/>
  </r>
  <r>
    <s v="EMP0089"/>
    <x v="65"/>
    <x v="3"/>
    <n v="783469"/>
    <n v="13342"/>
    <n v="86182"/>
    <n v="15"/>
    <n v="103.10000000000001"/>
    <n v="0.73333333333333295"/>
    <n v="0"/>
    <n v="0"/>
    <n v="77"/>
    <x v="2"/>
    <x v="1"/>
  </r>
  <r>
    <s v="EMP0090"/>
    <x v="97"/>
    <x v="2"/>
    <n v="744538"/>
    <n v="39628"/>
    <n v="81899"/>
    <n v="15"/>
    <n v="107.7"/>
    <n v="0.6"/>
    <n v="11"/>
    <n v="1"/>
    <n v="87"/>
    <x v="3"/>
    <x v="3"/>
  </r>
  <r>
    <s v="EMP0091"/>
    <x v="98"/>
    <x v="5"/>
    <n v="550242"/>
    <n v="88029"/>
    <n v="60527"/>
    <n v="15"/>
    <n v="111.1"/>
    <n v="0.86666666666666703"/>
    <n v="17"/>
    <n v="2"/>
    <n v="70"/>
    <x v="2"/>
    <x v="1"/>
  </r>
  <r>
    <s v="EMP0092"/>
    <x v="99"/>
    <x v="8"/>
    <n v="700925"/>
    <n v="1255"/>
    <n v="77102"/>
    <n v="15"/>
    <n v="105.9"/>
    <n v="0.8"/>
    <n v="14"/>
    <n v="1"/>
    <n v="73"/>
    <x v="1"/>
    <x v="1"/>
  </r>
  <r>
    <s v="EMP0093"/>
    <x v="100"/>
    <x v="8"/>
    <n v="523202"/>
    <n v="67436"/>
    <n v="57552"/>
    <n v="15"/>
    <n v="90.1"/>
    <n v="0.73333333333333295"/>
    <n v="0"/>
    <n v="0"/>
    <n v="99"/>
    <x v="3"/>
    <x v="0"/>
  </r>
  <r>
    <s v="EMP0224"/>
    <x v="101"/>
    <x v="3"/>
    <n v="551490"/>
    <n v="5867"/>
    <n v="60664"/>
    <n v="14"/>
    <n v="117.10000000000001"/>
    <n v="0.85714285714285698"/>
    <n v="13"/>
    <n v="1"/>
    <n v="64"/>
    <x v="2"/>
    <x v="2"/>
  </r>
  <r>
    <s v="EMP0094"/>
    <x v="102"/>
    <x v="2"/>
    <n v="660244"/>
    <n v="73264"/>
    <n v="72627"/>
    <n v="15"/>
    <n v="111.4"/>
    <n v="0.8"/>
    <n v="0"/>
    <n v="0"/>
    <n v="90"/>
    <x v="3"/>
    <x v="0"/>
  </r>
  <r>
    <s v="EMP0095"/>
    <x v="103"/>
    <x v="6"/>
    <n v="742268"/>
    <n v="87184"/>
    <n v="81649"/>
    <n v="15"/>
    <n v="76.40000000000002"/>
    <n v="0.6"/>
    <n v="0"/>
    <n v="0"/>
    <n v="57"/>
    <x v="0"/>
    <x v="2"/>
  </r>
  <r>
    <s v="EMP0096"/>
    <x v="104"/>
    <x v="2"/>
    <n v="484966"/>
    <n v="52661"/>
    <m/>
    <n v="15"/>
    <n v="104.9"/>
    <n v="0.73333333333333295"/>
    <n v="6"/>
    <n v="1"/>
    <n v="98"/>
    <x v="1"/>
    <x v="0"/>
  </r>
  <r>
    <s v="EMP0097"/>
    <x v="105"/>
    <x v="6"/>
    <n v="226715"/>
    <n v="82711"/>
    <n v="24939"/>
    <n v="15"/>
    <n v="104.6"/>
    <n v="0.73333333333333295"/>
    <n v="33"/>
    <n v="3"/>
    <n v="65"/>
    <x v="3"/>
    <x v="2"/>
  </r>
  <r>
    <s v="EMP0134"/>
    <x v="106"/>
    <x v="3"/>
    <n v="394386"/>
    <n v="11118"/>
    <n v="43382"/>
    <n v="15"/>
    <n v="114.10000000000001"/>
    <n v="0.8"/>
    <n v="22"/>
    <n v="2"/>
    <n v="58"/>
    <x v="1"/>
    <x v="2"/>
  </r>
  <r>
    <s v="EMP0099"/>
    <x v="107"/>
    <x v="9"/>
    <n v="395884"/>
    <n v="43823"/>
    <n v="43547"/>
    <n v="15"/>
    <n v="78.5"/>
    <n v="0.66666666666666696"/>
    <n v="0"/>
    <n v="0"/>
    <n v="69"/>
    <x v="0"/>
    <x v="2"/>
  </r>
  <r>
    <s v="EMP0100"/>
    <x v="108"/>
    <x v="10"/>
    <n v="447526"/>
    <n v="55785"/>
    <m/>
    <n v="15"/>
    <n v="92.499999999999986"/>
    <n v="0.73333333333333295"/>
    <n v="23"/>
    <n v="2"/>
    <n v="81"/>
    <x v="3"/>
    <x v="3"/>
  </r>
  <r>
    <s v="EMP0102"/>
    <x v="109"/>
    <x v="3"/>
    <n v="760451"/>
    <n v="7544"/>
    <n v="83650"/>
    <n v="15"/>
    <n v="103.7"/>
    <n v="0.86666666666666703"/>
    <n v="2"/>
    <n v="1"/>
    <n v="92"/>
    <x v="2"/>
    <x v="0"/>
  </r>
  <r>
    <s v="EMP0180"/>
    <x v="110"/>
    <x v="1"/>
    <n v="760320"/>
    <n v="55355"/>
    <n v="83635"/>
    <n v="15"/>
    <n v="103.60000000000001"/>
    <n v="0.66666666666666696"/>
    <n v="17"/>
    <n v="2"/>
    <n v="82"/>
    <x v="4"/>
    <x v="3"/>
  </r>
  <r>
    <s v="EMP0103"/>
    <x v="111"/>
    <x v="3"/>
    <n v="344434"/>
    <n v="18685"/>
    <n v="37888"/>
    <n v="15"/>
    <n v="111.69999999999999"/>
    <n v="0.8"/>
    <n v="0"/>
    <n v="0"/>
    <n v="78"/>
    <x v="4"/>
    <x v="1"/>
  </r>
  <r>
    <s v="EMP0104"/>
    <x v="112"/>
    <x v="1"/>
    <n v="599976"/>
    <n v="29111"/>
    <n v="65997"/>
    <n v="15"/>
    <n v="94.3"/>
    <n v="0.66666666666666696"/>
    <n v="0"/>
    <n v="0"/>
    <n v="70"/>
    <x v="4"/>
    <x v="1"/>
  </r>
  <r>
    <s v="EMP0369"/>
    <x v="113"/>
    <x v="2"/>
    <n v="576006"/>
    <n v="79660"/>
    <n v="63361"/>
    <n v="15"/>
    <n v="90.1"/>
    <n v="0.6"/>
    <n v="3"/>
    <n v="1"/>
    <n v="59"/>
    <x v="2"/>
    <x v="2"/>
  </r>
  <r>
    <s v="EMP0105"/>
    <x v="114"/>
    <x v="4"/>
    <n v="661120"/>
    <n v="36863"/>
    <n v="72723"/>
    <n v="15"/>
    <n v="96.000000000000014"/>
    <n v="0.6"/>
    <n v="5"/>
    <n v="1"/>
    <n v="84"/>
    <x v="1"/>
    <x v="3"/>
  </r>
  <r>
    <s v="EMP0106"/>
    <x v="115"/>
    <x v="1"/>
    <n v="782292"/>
    <n v="41784"/>
    <n v="86052"/>
    <n v="15"/>
    <n v="114.00000000000001"/>
    <n v="0.93333333333333302"/>
    <n v="4"/>
    <n v="1"/>
    <n v="66"/>
    <x v="1"/>
    <x v="2"/>
  </r>
  <r>
    <s v="EMP0124"/>
    <x v="67"/>
    <x v="8"/>
    <n v="787263"/>
    <n v="15406"/>
    <n v="86599"/>
    <n v="15"/>
    <n v="101"/>
    <n v="0.86666666666666703"/>
    <n v="3"/>
    <n v="1"/>
    <n v="87"/>
    <x v="3"/>
    <x v="3"/>
  </r>
  <r>
    <s v="EMP0107"/>
    <x v="81"/>
    <x v="6"/>
    <n v="338073"/>
    <n v="36522"/>
    <n v="37188"/>
    <n v="15"/>
    <n v="98.500000000000014"/>
    <n v="0.66666666666666696"/>
    <n v="0"/>
    <n v="0"/>
    <n v="76"/>
    <x v="0"/>
    <x v="1"/>
  </r>
  <r>
    <s v="EMP0108"/>
    <x v="116"/>
    <x v="9"/>
    <n v="642817"/>
    <n v="31084"/>
    <n v="70710"/>
    <n v="15"/>
    <n v="105.80000000000001"/>
    <n v="0.8"/>
    <n v="0"/>
    <n v="0"/>
    <n v="87"/>
    <x v="4"/>
    <x v="3"/>
  </r>
  <r>
    <s v="EMP0202"/>
    <x v="117"/>
    <x v="3"/>
    <n v="837129"/>
    <n v="20391"/>
    <n v="92084"/>
    <n v="15"/>
    <n v="111.6"/>
    <n v="0.8"/>
    <n v="5"/>
    <n v="1"/>
    <n v="93"/>
    <x v="3"/>
    <x v="0"/>
  </r>
  <r>
    <s v="EMP0109"/>
    <x v="118"/>
    <x v="9"/>
    <n v="844039"/>
    <n v="37601"/>
    <n v="92844"/>
    <n v="15"/>
    <n v="118.60000000000001"/>
    <n v="0.8"/>
    <n v="0"/>
    <n v="0"/>
    <n v="98"/>
    <x v="3"/>
    <x v="0"/>
  </r>
  <r>
    <s v="EMP0110"/>
    <x v="119"/>
    <x v="6"/>
    <n v="751642"/>
    <n v="48194"/>
    <n v="82681"/>
    <n v="15"/>
    <n v="102.00000000000001"/>
    <n v="0.66666666666666696"/>
    <n v="0"/>
    <n v="0"/>
    <n v="93"/>
    <x v="3"/>
    <x v="0"/>
  </r>
  <r>
    <s v="EMP0301"/>
    <x v="105"/>
    <x v="1"/>
    <n v="655753"/>
    <n v="83137"/>
    <n v="72133"/>
    <n v="15"/>
    <n v="88.800000000000011"/>
    <n v="0.66666666666666696"/>
    <n v="5"/>
    <n v="1"/>
    <n v="88"/>
    <x v="1"/>
    <x v="3"/>
  </r>
  <r>
    <s v="EMP0112"/>
    <x v="120"/>
    <x v="0"/>
    <n v="401240"/>
    <n v="4253"/>
    <n v="44136"/>
    <n v="15"/>
    <n v="107.6"/>
    <n v="0.8"/>
    <n v="0"/>
    <n v="0"/>
    <n v="76"/>
    <x v="2"/>
    <x v="1"/>
  </r>
  <r>
    <s v="EMP0114"/>
    <x v="121"/>
    <x v="2"/>
    <n v="554263"/>
    <n v="85017"/>
    <n v="60969"/>
    <n v="15"/>
    <n v="114.09999999999998"/>
    <n v="0.8"/>
    <n v="0"/>
    <n v="0"/>
    <n v="73"/>
    <x v="4"/>
    <x v="1"/>
  </r>
  <r>
    <s v="EMP0115"/>
    <x v="122"/>
    <x v="7"/>
    <n v="517307"/>
    <n v="80108"/>
    <n v="56904"/>
    <n v="15"/>
    <n v="106.5"/>
    <n v="0.53333333333333299"/>
    <n v="0"/>
    <n v="0"/>
    <n v="99"/>
    <x v="3"/>
    <x v="0"/>
  </r>
  <r>
    <s v="EMP0116"/>
    <x v="123"/>
    <x v="3"/>
    <n v="535776"/>
    <n v="78348"/>
    <n v="58935"/>
    <n v="15"/>
    <n v="122.70000000000002"/>
    <n v="0.93333333333333302"/>
    <n v="0"/>
    <n v="0"/>
    <n v="100"/>
    <x v="3"/>
    <x v="0"/>
  </r>
  <r>
    <s v="EMP0290"/>
    <x v="20"/>
    <x v="7"/>
    <n v="623135"/>
    <n v="1792"/>
    <n v="68545"/>
    <n v="15"/>
    <n v="110.69999999999999"/>
    <n v="0.73333333333333295"/>
    <n v="6"/>
    <n v="1"/>
    <n v="65"/>
    <x v="3"/>
    <x v="2"/>
  </r>
  <r>
    <s v="EMP0117"/>
    <x v="63"/>
    <x v="1"/>
    <n v="314987"/>
    <n v="89271"/>
    <n v="34649"/>
    <n v="15"/>
    <n v="112.1"/>
    <n v="0.86666666666666703"/>
    <n v="10"/>
    <n v="1"/>
    <n v="73"/>
    <x v="1"/>
    <x v="1"/>
  </r>
  <r>
    <s v="EMP0118"/>
    <x v="56"/>
    <x v="8"/>
    <n v="546757"/>
    <n v="73242"/>
    <n v="60143"/>
    <n v="14"/>
    <n v="80"/>
    <n v="0.71428571428571397"/>
    <n v="0"/>
    <n v="0"/>
    <n v="91"/>
    <x v="0"/>
    <x v="0"/>
  </r>
  <r>
    <s v="EMP0119"/>
    <x v="124"/>
    <x v="1"/>
    <n v="323026"/>
    <n v="34657"/>
    <n v="35533"/>
    <n v="14"/>
    <n v="77.8"/>
    <n v="0.35714285714285698"/>
    <n v="0"/>
    <n v="0"/>
    <n v="61"/>
    <x v="0"/>
    <x v="2"/>
  </r>
  <r>
    <s v="EMP0120"/>
    <x v="94"/>
    <x v="9"/>
    <n v="537737"/>
    <n v="41700"/>
    <n v="59151"/>
    <n v="15"/>
    <n v="96.899999999999991"/>
    <n v="0.73333333333333295"/>
    <n v="0"/>
    <n v="0"/>
    <n v="93"/>
    <x v="3"/>
    <x v="0"/>
  </r>
  <r>
    <s v="EMP0121"/>
    <x v="125"/>
    <x v="6"/>
    <n v="268731"/>
    <n v="65453"/>
    <n v="29560"/>
    <n v="15"/>
    <n v="94.399999999999991"/>
    <n v="0.66666666666666696"/>
    <n v="16"/>
    <n v="2"/>
    <n v="85"/>
    <x v="4"/>
    <x v="3"/>
  </r>
  <r>
    <s v="EMP0122"/>
    <x v="126"/>
    <x v="7"/>
    <n v="658194"/>
    <n v="43293"/>
    <n v="72401"/>
    <n v="15"/>
    <n v="70.400000000000006"/>
    <n v="0.6"/>
    <n v="0"/>
    <n v="0"/>
    <n v="95"/>
    <x v="4"/>
    <x v="0"/>
  </r>
  <r>
    <s v="EMP0123"/>
    <x v="127"/>
    <x v="4"/>
    <n v="822463"/>
    <n v="28731"/>
    <n v="90471"/>
    <n v="15"/>
    <n v="98.500000000000014"/>
    <n v="0.73333333333333295"/>
    <n v="0"/>
    <n v="0"/>
    <n v="97"/>
    <x v="0"/>
    <x v="0"/>
  </r>
  <r>
    <s v="EMP0247"/>
    <x v="128"/>
    <x v="5"/>
    <n v="748767"/>
    <n v="63270"/>
    <n v="82364"/>
    <n v="15"/>
    <n v="88.3"/>
    <n v="0.66666666666666696"/>
    <n v="5"/>
    <n v="1"/>
    <n v="67"/>
    <x v="3"/>
    <x v="2"/>
  </r>
  <r>
    <s v="EMP0125"/>
    <x v="129"/>
    <x v="1"/>
    <n v="450625"/>
    <n v="60542"/>
    <n v="49569"/>
    <n v="15"/>
    <n v="97.499999999999986"/>
    <n v="0.73333333333333295"/>
    <n v="17"/>
    <n v="2"/>
    <n v="66"/>
    <x v="4"/>
    <x v="2"/>
  </r>
  <r>
    <s v="EMP0126"/>
    <x v="130"/>
    <x v="6"/>
    <n v="317769"/>
    <n v="52415"/>
    <n v="34955"/>
    <n v="15"/>
    <n v="116.8"/>
    <n v="0.86666666666666703"/>
    <n v="12"/>
    <n v="2"/>
    <n v="71"/>
    <x v="0"/>
    <x v="1"/>
  </r>
  <r>
    <s v="EMP0127"/>
    <x v="77"/>
    <x v="2"/>
    <n v="571294"/>
    <n v="26370"/>
    <n v="62842"/>
    <n v="15"/>
    <n v="102.1"/>
    <n v="0.8"/>
    <n v="0"/>
    <n v="0"/>
    <n v="63"/>
    <x v="4"/>
    <x v="2"/>
  </r>
  <r>
    <s v="EMP0227"/>
    <x v="131"/>
    <x v="8"/>
    <n v="273173"/>
    <n v="28841"/>
    <n v="30049"/>
    <n v="15"/>
    <n v="90.7"/>
    <n v="0.66666666666666696"/>
    <n v="2"/>
    <n v="1"/>
    <n v="61"/>
    <x v="3"/>
    <x v="2"/>
  </r>
  <r>
    <s v="EMP0128"/>
    <x v="132"/>
    <x v="2"/>
    <n v="696974"/>
    <n v="79731"/>
    <n v="76667"/>
    <n v="15"/>
    <n v="103.4"/>
    <n v="0.73333333333333295"/>
    <n v="4"/>
    <n v="1"/>
    <n v="58"/>
    <x v="1"/>
    <x v="2"/>
  </r>
  <r>
    <s v="EMP0129"/>
    <x v="133"/>
    <x v="6"/>
    <n v="547264"/>
    <n v="9955"/>
    <n v="60199"/>
    <n v="15"/>
    <n v="82.9"/>
    <n v="0.66666666666666696"/>
    <n v="0"/>
    <n v="0"/>
    <n v="57"/>
    <x v="0"/>
    <x v="2"/>
  </r>
  <r>
    <s v="EMP0131"/>
    <x v="42"/>
    <x v="8"/>
    <n v="315931"/>
    <n v="39486"/>
    <n v="34752"/>
    <n v="15"/>
    <n v="113.39999999999999"/>
    <n v="0.93333333333333302"/>
    <n v="0"/>
    <n v="0"/>
    <n v="95"/>
    <x v="3"/>
    <x v="0"/>
  </r>
  <r>
    <s v="EMP0309"/>
    <x v="134"/>
    <x v="8"/>
    <n v="664919"/>
    <n v="12040"/>
    <n v="73141"/>
    <n v="15"/>
    <n v="85.600000000000009"/>
    <n v="0.73333333333333295"/>
    <n v="2"/>
    <n v="1"/>
    <n v="79"/>
    <x v="0"/>
    <x v="1"/>
  </r>
  <r>
    <s v="EMP0132"/>
    <x v="135"/>
    <x v="0"/>
    <n v="683814"/>
    <n v="9575"/>
    <n v="75220"/>
    <n v="15"/>
    <n v="87"/>
    <n v="0.6"/>
    <n v="2"/>
    <n v="1"/>
    <n v="83"/>
    <x v="4"/>
    <x v="3"/>
  </r>
  <r>
    <s v="EMP0133"/>
    <x v="136"/>
    <x v="10"/>
    <n v="379292"/>
    <n v="79235"/>
    <n v="41722"/>
    <n v="15"/>
    <n v="114.60000000000001"/>
    <n v="0.93333333333333302"/>
    <n v="0"/>
    <n v="0"/>
    <n v="97"/>
    <x v="0"/>
    <x v="0"/>
  </r>
  <r>
    <s v="EMP0175"/>
    <x v="65"/>
    <x v="3"/>
    <n v="264357"/>
    <n v="54241"/>
    <n v="29079"/>
    <n v="15"/>
    <n v="97.90000000000002"/>
    <n v="0.73333333333333295"/>
    <n v="8"/>
    <n v="1"/>
    <n v="91"/>
    <x v="3"/>
    <x v="0"/>
  </r>
  <r>
    <s v="EMP0135"/>
    <x v="137"/>
    <x v="2"/>
    <n v="641495"/>
    <n v="77353"/>
    <n v="70564"/>
    <n v="15"/>
    <n v="122.70000000000002"/>
    <n v="0.93333333333333302"/>
    <n v="0"/>
    <n v="0"/>
    <n v="92"/>
    <x v="1"/>
    <x v="0"/>
  </r>
  <r>
    <s v="EMP0136"/>
    <x v="138"/>
    <x v="5"/>
    <n v="498421"/>
    <n v="56497"/>
    <n v="54826"/>
    <n v="15"/>
    <n v="112.10000000000001"/>
    <n v="0.86666666666666703"/>
    <n v="0"/>
    <n v="0"/>
    <n v="76"/>
    <x v="0"/>
    <x v="1"/>
  </r>
  <r>
    <s v="EMP0137"/>
    <x v="139"/>
    <x v="6"/>
    <n v="594476"/>
    <n v="77740"/>
    <n v="65392"/>
    <n v="15"/>
    <n v="94.3"/>
    <n v="0.6"/>
    <n v="17"/>
    <n v="2"/>
    <n v="61"/>
    <x v="0"/>
    <x v="2"/>
  </r>
  <r>
    <s v="EMP0138"/>
    <x v="87"/>
    <x v="3"/>
    <n v="566324"/>
    <n v="66546"/>
    <n v="62296"/>
    <n v="15"/>
    <n v="118.89999999999998"/>
    <n v="1"/>
    <n v="0"/>
    <n v="0"/>
    <n v="99"/>
    <x v="2"/>
    <x v="0"/>
  </r>
  <r>
    <s v="EMP0139"/>
    <x v="140"/>
    <x v="9"/>
    <n v="564217"/>
    <n v="43018"/>
    <n v="62064"/>
    <n v="15"/>
    <n v="119.60000000000001"/>
    <n v="0.8"/>
    <n v="0"/>
    <n v="0"/>
    <n v="82"/>
    <x v="3"/>
    <x v="3"/>
  </r>
  <r>
    <s v="EMP0141"/>
    <x v="101"/>
    <x v="3"/>
    <n v="441268"/>
    <n v="11184"/>
    <n v="48539"/>
    <n v="15"/>
    <n v="112.2"/>
    <n v="0.66666666666666696"/>
    <n v="0"/>
    <n v="0"/>
    <n v="75"/>
    <x v="0"/>
    <x v="1"/>
  </r>
  <r>
    <s v="EMP0211"/>
    <x v="141"/>
    <x v="2"/>
    <n v="484676"/>
    <n v="45073"/>
    <n v="53314"/>
    <n v="15"/>
    <n v="90"/>
    <n v="0.6"/>
    <n v="14"/>
    <n v="1"/>
    <n v="72"/>
    <x v="0"/>
    <x v="1"/>
  </r>
  <r>
    <s v="EMP0142"/>
    <x v="142"/>
    <x v="7"/>
    <n v="446014"/>
    <n v="83034"/>
    <n v="49062"/>
    <n v="15"/>
    <n v="99.3"/>
    <n v="0.8"/>
    <n v="6"/>
    <n v="1"/>
    <n v="63"/>
    <x v="0"/>
    <x v="2"/>
  </r>
  <r>
    <s v="EMP0143"/>
    <x v="74"/>
    <x v="5"/>
    <n v="731366"/>
    <n v="51207"/>
    <n v="80450"/>
    <n v="15"/>
    <n v="114.4"/>
    <n v="0.66666666666666696"/>
    <n v="0"/>
    <n v="0"/>
    <n v="60"/>
    <x v="3"/>
    <x v="2"/>
  </r>
  <r>
    <s v="EMP0144"/>
    <x v="51"/>
    <x v="7"/>
    <n v="284960"/>
    <n v="18020"/>
    <n v="31346"/>
    <n v="15"/>
    <n v="102.1"/>
    <n v="0.66666666666666696"/>
    <n v="24"/>
    <n v="2"/>
    <n v="78"/>
    <x v="2"/>
    <x v="1"/>
  </r>
  <r>
    <s v="EMP0145"/>
    <x v="112"/>
    <x v="9"/>
    <n v="758538"/>
    <n v="61362"/>
    <n v="83439"/>
    <n v="15"/>
    <n v="113.39999999999999"/>
    <n v="0.8"/>
    <n v="0"/>
    <n v="0"/>
    <n v="97"/>
    <x v="0"/>
    <x v="0"/>
  </r>
  <r>
    <s v="EMP0146"/>
    <x v="31"/>
    <x v="0"/>
    <n v="386324"/>
    <n v="73281"/>
    <n v="42496"/>
    <n v="15"/>
    <n v="95.6"/>
    <n v="0.6"/>
    <n v="0"/>
    <n v="0"/>
    <n v="100"/>
    <x v="4"/>
    <x v="0"/>
  </r>
  <r>
    <s v="EMP0147"/>
    <x v="143"/>
    <x v="5"/>
    <n v="777097"/>
    <n v="58285"/>
    <n v="85481"/>
    <n v="15"/>
    <n v="114.39999999999999"/>
    <n v="0.73333333333333295"/>
    <n v="0"/>
    <n v="0"/>
    <n v="65"/>
    <x v="2"/>
    <x v="2"/>
  </r>
  <r>
    <s v="EMP0149"/>
    <x v="144"/>
    <x v="5"/>
    <n v="368829"/>
    <n v="23744"/>
    <n v="40571"/>
    <n v="15"/>
    <n v="115.6"/>
    <n v="0.8"/>
    <n v="0"/>
    <n v="0"/>
    <n v="63"/>
    <x v="3"/>
    <x v="2"/>
  </r>
  <r>
    <s v="EMP0337"/>
    <x v="145"/>
    <x v="8"/>
    <n v="432904"/>
    <n v="85630"/>
    <n v="47619"/>
    <n v="15"/>
    <n v="86.5"/>
    <n v="0.66666666666666696"/>
    <n v="8"/>
    <n v="1"/>
    <n v="78"/>
    <x v="1"/>
    <x v="1"/>
  </r>
  <r>
    <s v="EMP0150"/>
    <x v="146"/>
    <x v="9"/>
    <n v="431594"/>
    <n v="35398"/>
    <n v="47475"/>
    <n v="15"/>
    <n v="80.2"/>
    <n v="0.66666666666666696"/>
    <n v="12"/>
    <n v="1"/>
    <n v="78"/>
    <x v="0"/>
    <x v="1"/>
  </r>
  <r>
    <s v="EMP0151"/>
    <x v="125"/>
    <x v="1"/>
    <n v="432780"/>
    <n v="70086"/>
    <n v="47606"/>
    <n v="15"/>
    <n v="101.3"/>
    <n v="0.86666666666666703"/>
    <n v="0"/>
    <n v="0"/>
    <n v="77"/>
    <x v="4"/>
    <x v="1"/>
  </r>
  <r>
    <s v="EMP0152"/>
    <x v="147"/>
    <x v="7"/>
    <n v="456940"/>
    <n v="51562"/>
    <n v="50263"/>
    <n v="15"/>
    <n v="113.80000000000001"/>
    <n v="0.86666666666666703"/>
    <n v="15"/>
    <n v="3"/>
    <n v="85"/>
    <x v="4"/>
    <x v="3"/>
  </r>
  <r>
    <s v="EMP0153"/>
    <x v="148"/>
    <x v="2"/>
    <n v="256000"/>
    <n v="57994"/>
    <n v="28160"/>
    <n v="15"/>
    <n v="104.7"/>
    <n v="0.8"/>
    <n v="0"/>
    <n v="0"/>
    <n v="56"/>
    <x v="2"/>
    <x v="2"/>
  </r>
  <r>
    <s v="EMP0365"/>
    <x v="149"/>
    <x v="5"/>
    <n v="521344"/>
    <n v="4770"/>
    <n v="57348"/>
    <n v="15"/>
    <n v="103.99999999999999"/>
    <n v="0.8"/>
    <n v="25"/>
    <n v="2"/>
    <n v="81"/>
    <x v="1"/>
    <x v="3"/>
  </r>
  <r>
    <s v="EMP0154"/>
    <x v="150"/>
    <x v="2"/>
    <n v="644318"/>
    <n v="14479"/>
    <n v="70875"/>
    <n v="15"/>
    <n v="93.6"/>
    <n v="0.66666666666666696"/>
    <n v="0"/>
    <n v="0"/>
    <n v="94"/>
    <x v="1"/>
    <x v="0"/>
  </r>
  <r>
    <s v="EMP0155"/>
    <x v="75"/>
    <x v="6"/>
    <n v="684228"/>
    <n v="48505"/>
    <n v="75265"/>
    <n v="15"/>
    <n v="105.1"/>
    <n v="0.73333333333333295"/>
    <n v="0"/>
    <n v="0"/>
    <n v="63"/>
    <x v="4"/>
    <x v="2"/>
  </r>
  <r>
    <s v="EMP0203"/>
    <x v="151"/>
    <x v="5"/>
    <n v="742728"/>
    <n v="76878"/>
    <n v="81700"/>
    <n v="15"/>
    <n v="95.499999999999986"/>
    <n v="0.66666666666666696"/>
    <n v="8"/>
    <n v="1"/>
    <n v="98"/>
    <x v="1"/>
    <x v="0"/>
  </r>
  <r>
    <s v="EMP0156"/>
    <x v="52"/>
    <x v="7"/>
    <n v="275714"/>
    <n v="89598"/>
    <n v="30329"/>
    <n v="15"/>
    <n v="109.89999999999999"/>
    <n v="0.86666666666666703"/>
    <n v="0"/>
    <n v="0"/>
    <n v="89"/>
    <x v="3"/>
    <x v="3"/>
  </r>
  <r>
    <s v="EMP0157"/>
    <x v="60"/>
    <x v="0"/>
    <n v="777748"/>
    <n v="68754"/>
    <n v="85552"/>
    <n v="15"/>
    <n v="105.7"/>
    <n v="0.8"/>
    <n v="0"/>
    <n v="0"/>
    <n v="60"/>
    <x v="4"/>
    <x v="2"/>
  </r>
  <r>
    <s v="EMP0158"/>
    <x v="152"/>
    <x v="4"/>
    <n v="390490"/>
    <n v="58272"/>
    <n v="42954"/>
    <n v="14"/>
    <n v="111.1"/>
    <n v="0.92857142857142905"/>
    <n v="0"/>
    <n v="0"/>
    <n v="64"/>
    <x v="4"/>
    <x v="2"/>
  </r>
  <r>
    <s v="EMP0159"/>
    <x v="153"/>
    <x v="10"/>
    <n v="577881"/>
    <n v="59744"/>
    <n v="63567"/>
    <n v="15"/>
    <n v="101.6"/>
    <n v="0.73333333333333295"/>
    <n v="10"/>
    <n v="1"/>
    <n v="57"/>
    <x v="4"/>
    <x v="2"/>
  </r>
  <r>
    <s v="EMP0253"/>
    <x v="154"/>
    <x v="4"/>
    <n v="538446"/>
    <n v="5493"/>
    <n v="59229"/>
    <n v="15"/>
    <n v="79.699999999999989"/>
    <n v="0.66666666666666696"/>
    <n v="9"/>
    <n v="1"/>
    <n v="82"/>
    <x v="0"/>
    <x v="3"/>
  </r>
  <r>
    <s v="EMP0160"/>
    <x v="155"/>
    <x v="7"/>
    <n v="519167"/>
    <n v="31965"/>
    <n v="57108"/>
    <n v="15"/>
    <n v="119.5"/>
    <n v="0.93333333333333302"/>
    <n v="0"/>
    <n v="0"/>
    <n v="81"/>
    <x v="1"/>
    <x v="3"/>
  </r>
  <r>
    <s v="EMP0161"/>
    <x v="156"/>
    <x v="1"/>
    <n v="241882"/>
    <n v="558"/>
    <n v="26607"/>
    <n v="15"/>
    <n v="119.70000000000002"/>
    <n v="0.93333333333333302"/>
    <n v="0"/>
    <n v="0"/>
    <n v="65"/>
    <x v="0"/>
    <x v="2"/>
  </r>
  <r>
    <s v="EMP0265"/>
    <x v="157"/>
    <x v="5"/>
    <n v="298666"/>
    <n v="39879"/>
    <n v="32853"/>
    <n v="15"/>
    <n v="89.199999999999989"/>
    <n v="0.73333333333333295"/>
    <n v="23"/>
    <n v="3"/>
    <n v="79"/>
    <x v="3"/>
    <x v="1"/>
  </r>
  <r>
    <s v="EMP0162"/>
    <x v="158"/>
    <x v="6"/>
    <n v="635734"/>
    <n v="17136"/>
    <n v="69931"/>
    <n v="15"/>
    <n v="97.199999999999989"/>
    <n v="0.8"/>
    <n v="0"/>
    <n v="0"/>
    <n v="62"/>
    <x v="2"/>
    <x v="2"/>
  </r>
  <r>
    <s v="EMP0163"/>
    <x v="147"/>
    <x v="2"/>
    <n v="628655"/>
    <n v="16990"/>
    <n v="69152"/>
    <n v="15"/>
    <n v="95.399999999999991"/>
    <n v="0.8"/>
    <n v="0"/>
    <n v="0"/>
    <n v="66"/>
    <x v="1"/>
    <x v="2"/>
  </r>
  <r>
    <s v="EMP0379"/>
    <x v="159"/>
    <x v="6"/>
    <n v="327598"/>
    <n v="81224"/>
    <n v="36036"/>
    <n v="15"/>
    <n v="89.1"/>
    <n v="0.53333333333333299"/>
    <n v="10"/>
    <n v="2"/>
    <n v="66"/>
    <x v="3"/>
    <x v="2"/>
  </r>
  <r>
    <s v="EMP0165"/>
    <x v="13"/>
    <x v="9"/>
    <n v="248290"/>
    <n v="60263"/>
    <n v="27312"/>
    <n v="15"/>
    <n v="85.999999999999986"/>
    <n v="0.6"/>
    <n v="0"/>
    <n v="0"/>
    <n v="96"/>
    <x v="0"/>
    <x v="0"/>
  </r>
  <r>
    <s v="EMP0166"/>
    <x v="160"/>
    <x v="2"/>
    <n v="493236"/>
    <n v="39521"/>
    <n v="54256"/>
    <n v="15"/>
    <n v="104.19999999999999"/>
    <n v="0.66666666666666696"/>
    <n v="9"/>
    <n v="1"/>
    <n v="77"/>
    <x v="3"/>
    <x v="1"/>
  </r>
  <r>
    <s v="EMP0340"/>
    <x v="161"/>
    <x v="3"/>
    <n v="477670"/>
    <n v="33844"/>
    <n v="52544"/>
    <n v="15"/>
    <n v="106.1"/>
    <n v="0.66666666666666696"/>
    <n v="6"/>
    <n v="1"/>
    <n v="57"/>
    <x v="3"/>
    <x v="2"/>
  </r>
  <r>
    <s v="EMP0168"/>
    <x v="147"/>
    <x v="6"/>
    <n v="608548"/>
    <n v="72402"/>
    <n v="66940"/>
    <n v="15"/>
    <n v="100.4"/>
    <n v="0.8"/>
    <n v="3"/>
    <n v="1"/>
    <n v="67"/>
    <x v="0"/>
    <x v="2"/>
  </r>
  <r>
    <s v="EMP0169"/>
    <x v="25"/>
    <x v="2"/>
    <n v="655525"/>
    <n v="13476"/>
    <n v="72108"/>
    <n v="15"/>
    <n v="87.40000000000002"/>
    <n v="0.73333333333333295"/>
    <n v="7"/>
    <n v="1"/>
    <n v="69"/>
    <x v="4"/>
    <x v="2"/>
  </r>
  <r>
    <s v="EMP0170"/>
    <x v="70"/>
    <x v="9"/>
    <n v="771717"/>
    <n v="64808"/>
    <n v="84889"/>
    <n v="15"/>
    <n v="111.5"/>
    <n v="0.86666666666666703"/>
    <n v="0"/>
    <n v="0"/>
    <n v="80"/>
    <x v="3"/>
    <x v="3"/>
  </r>
  <r>
    <s v="EMP0171"/>
    <x v="162"/>
    <x v="4"/>
    <n v="557841"/>
    <n v="6237"/>
    <n v="61363"/>
    <n v="15"/>
    <n v="90.3"/>
    <n v="0.66666666666666696"/>
    <n v="0"/>
    <n v="0"/>
    <n v="96"/>
    <x v="2"/>
    <x v="0"/>
  </r>
  <r>
    <s v="EMP0172"/>
    <x v="42"/>
    <x v="1"/>
    <n v="282446"/>
    <n v="5724"/>
    <n v="31069"/>
    <n v="14"/>
    <n v="107.79999999999998"/>
    <n v="0.85714285714285698"/>
    <n v="0"/>
    <n v="0"/>
    <n v="73"/>
    <x v="3"/>
    <x v="1"/>
  </r>
  <r>
    <s v="EMP0361"/>
    <x v="163"/>
    <x v="0"/>
    <n v="331781"/>
    <n v="71961"/>
    <n v="36496"/>
    <n v="15"/>
    <n v="117.7"/>
    <n v="0.8"/>
    <n v="3"/>
    <n v="1"/>
    <n v="86"/>
    <x v="3"/>
    <x v="3"/>
  </r>
  <r>
    <s v="EMP0173"/>
    <x v="143"/>
    <x v="6"/>
    <n v="436378"/>
    <n v="53312"/>
    <n v="48002"/>
    <n v="15"/>
    <n v="120.59999999999998"/>
    <n v="0.8"/>
    <n v="0"/>
    <n v="0"/>
    <n v="76"/>
    <x v="2"/>
    <x v="1"/>
  </r>
  <r>
    <s v="EMP0174"/>
    <x v="164"/>
    <x v="7"/>
    <n v="421329"/>
    <n v="84191"/>
    <n v="46346"/>
    <n v="15"/>
    <n v="71.5"/>
    <n v="0.6"/>
    <n v="11"/>
    <n v="1"/>
    <n v="92"/>
    <x v="1"/>
    <x v="0"/>
  </r>
  <r>
    <s v="EMP0176"/>
    <x v="165"/>
    <x v="2"/>
    <n v="500872"/>
    <n v="20064"/>
    <n v="55096"/>
    <n v="15"/>
    <n v="112.39999999999999"/>
    <n v="0.6"/>
    <n v="10"/>
    <n v="1"/>
    <n v="90"/>
    <x v="4"/>
    <x v="0"/>
  </r>
  <r>
    <s v="EMP0362"/>
    <x v="166"/>
    <x v="1"/>
    <n v="492128"/>
    <n v="54700"/>
    <n v="54134"/>
    <n v="15"/>
    <n v="112.9"/>
    <n v="0.8"/>
    <n v="16"/>
    <n v="2"/>
    <n v="97"/>
    <x v="3"/>
    <x v="0"/>
  </r>
  <r>
    <s v="EMP0177"/>
    <x v="22"/>
    <x v="5"/>
    <n v="479040"/>
    <n v="48563"/>
    <n v="52694"/>
    <n v="15"/>
    <n v="103.2"/>
    <n v="0.73333333333333295"/>
    <n v="0"/>
    <n v="0"/>
    <n v="77"/>
    <x v="4"/>
    <x v="1"/>
  </r>
  <r>
    <s v="EMP0359"/>
    <x v="90"/>
    <x v="3"/>
    <n v="650909"/>
    <n v="32830"/>
    <n v="71600"/>
    <n v="15"/>
    <n v="94.600000000000009"/>
    <n v="0.73333333333333295"/>
    <n v="12"/>
    <n v="1"/>
    <n v="62"/>
    <x v="2"/>
    <x v="2"/>
  </r>
  <r>
    <s v="EMP0179"/>
    <x v="167"/>
    <x v="9"/>
    <n v="243751"/>
    <n v="69659"/>
    <m/>
    <n v="15"/>
    <n v="95.000000000000014"/>
    <n v="0.73333333333333295"/>
    <n v="0"/>
    <n v="0"/>
    <n v="82"/>
    <x v="3"/>
    <x v="3"/>
  </r>
  <r>
    <s v="EMP0299"/>
    <x v="168"/>
    <x v="6"/>
    <n v="479688"/>
    <n v="57909"/>
    <n v="52766"/>
    <n v="15"/>
    <n v="116.3"/>
    <n v="0.86666666666666703"/>
    <n v="14"/>
    <n v="2"/>
    <n v="83"/>
    <x v="3"/>
    <x v="3"/>
  </r>
  <r>
    <s v="EMP0181"/>
    <x v="43"/>
    <x v="7"/>
    <n v="298078"/>
    <n v="85564"/>
    <n v="32789"/>
    <n v="15"/>
    <n v="101.89999999999999"/>
    <n v="0.66666666666666696"/>
    <n v="0"/>
    <n v="0"/>
    <n v="62"/>
    <x v="2"/>
    <x v="2"/>
  </r>
  <r>
    <s v="EMP0182"/>
    <x v="169"/>
    <x v="8"/>
    <n v="317197"/>
    <n v="62682"/>
    <n v="34892"/>
    <n v="15"/>
    <n v="93.7"/>
    <n v="0.66666666666666696"/>
    <n v="0"/>
    <n v="0"/>
    <n v="69"/>
    <x v="2"/>
    <x v="2"/>
  </r>
  <r>
    <s v="EMP0307"/>
    <x v="170"/>
    <x v="7"/>
    <n v="302404"/>
    <n v="80151"/>
    <n v="33264"/>
    <n v="15"/>
    <n v="99.899999999999991"/>
    <n v="0.8"/>
    <n v="3"/>
    <n v="1"/>
    <n v="76"/>
    <x v="3"/>
    <x v="1"/>
  </r>
  <r>
    <s v="EMP0183"/>
    <x v="171"/>
    <x v="9"/>
    <n v="797570"/>
    <n v="62466"/>
    <n v="87733"/>
    <n v="15"/>
    <n v="117"/>
    <n v="0.73333333333333295"/>
    <n v="4"/>
    <n v="1"/>
    <n v="85"/>
    <x v="0"/>
    <x v="3"/>
  </r>
  <r>
    <s v="EMP0184"/>
    <x v="172"/>
    <x v="2"/>
    <n v="391099"/>
    <n v="61973"/>
    <n v="43021"/>
    <n v="15"/>
    <n v="98.399999999999991"/>
    <n v="0.73333333333333295"/>
    <n v="0"/>
    <n v="0"/>
    <n v="74"/>
    <x v="4"/>
    <x v="1"/>
  </r>
  <r>
    <s v="EMP0185"/>
    <x v="173"/>
    <x v="3"/>
    <n v="235206"/>
    <n v="633"/>
    <n v="25873"/>
    <n v="15"/>
    <n v="101.60000000000002"/>
    <n v="0.86666666666666703"/>
    <n v="0"/>
    <n v="0"/>
    <n v="57"/>
    <x v="0"/>
    <x v="2"/>
  </r>
  <r>
    <s v="EMP0186"/>
    <x v="174"/>
    <x v="5"/>
    <n v="716490"/>
    <n v="29895"/>
    <n v="78814"/>
    <n v="15"/>
    <n v="81.899999999999991"/>
    <n v="0.6"/>
    <n v="0"/>
    <n v="0"/>
    <n v="80"/>
    <x v="1"/>
    <x v="3"/>
  </r>
  <r>
    <s v="EMP0187"/>
    <x v="92"/>
    <x v="5"/>
    <n v="651857"/>
    <n v="20754"/>
    <n v="71704"/>
    <n v="15"/>
    <n v="95.1"/>
    <n v="0.46666666666666701"/>
    <n v="0"/>
    <n v="0"/>
    <n v="83"/>
    <x v="2"/>
    <x v="3"/>
  </r>
  <r>
    <s v="EMP0188"/>
    <x v="68"/>
    <x v="0"/>
    <n v="571032"/>
    <n v="71401"/>
    <m/>
    <n v="15"/>
    <n v="111.89999999999999"/>
    <n v="0.86666666666666703"/>
    <n v="0"/>
    <n v="0"/>
    <n v="98"/>
    <x v="3"/>
    <x v="0"/>
  </r>
  <r>
    <s v="EMP0189"/>
    <x v="175"/>
    <x v="3"/>
    <n v="738773"/>
    <n v="9862"/>
    <n v="81265"/>
    <n v="15"/>
    <n v="112.4"/>
    <n v="0.8"/>
    <n v="0"/>
    <n v="0"/>
    <n v="99"/>
    <x v="4"/>
    <x v="0"/>
  </r>
  <r>
    <s v="EMP0190"/>
    <x v="15"/>
    <x v="4"/>
    <n v="413168"/>
    <n v="50006"/>
    <n v="45448"/>
    <n v="15"/>
    <n v="86.8"/>
    <n v="0.6"/>
    <n v="13"/>
    <n v="1"/>
    <n v="91"/>
    <x v="4"/>
    <x v="0"/>
  </r>
  <r>
    <s v="EMP0191"/>
    <x v="176"/>
    <x v="2"/>
    <n v="255209"/>
    <n v="32154"/>
    <n v="28073"/>
    <n v="15"/>
    <n v="106.6"/>
    <n v="0.8"/>
    <n v="13"/>
    <n v="1"/>
    <n v="84"/>
    <x v="3"/>
    <x v="3"/>
  </r>
  <r>
    <s v="EMP0334"/>
    <x v="177"/>
    <x v="5"/>
    <n v="283809"/>
    <n v="48625"/>
    <n v="31219"/>
    <n v="15"/>
    <n v="103.20000000000002"/>
    <n v="0.8"/>
    <n v="7"/>
    <n v="1"/>
    <n v="99"/>
    <x v="3"/>
    <x v="0"/>
  </r>
  <r>
    <s v="EMP0192"/>
    <x v="178"/>
    <x v="2"/>
    <n v="640638"/>
    <n v="44230"/>
    <m/>
    <n v="15"/>
    <n v="106.1"/>
    <n v="0.86666666666666703"/>
    <n v="0"/>
    <n v="0"/>
    <n v="88"/>
    <x v="3"/>
    <x v="3"/>
  </r>
  <r>
    <s v="EMP0193"/>
    <x v="179"/>
    <x v="5"/>
    <n v="754721"/>
    <n v="13847"/>
    <n v="83019"/>
    <n v="15"/>
    <n v="113.09999999999998"/>
    <n v="0.86666666666666703"/>
    <n v="0"/>
    <n v="0"/>
    <n v="66"/>
    <x v="0"/>
    <x v="2"/>
  </r>
  <r>
    <s v="EMP0194"/>
    <x v="180"/>
    <x v="9"/>
    <n v="802840"/>
    <n v="24101"/>
    <n v="88312"/>
    <n v="15"/>
    <n v="103.6"/>
    <n v="0.6"/>
    <n v="0"/>
    <n v="0"/>
    <n v="78"/>
    <x v="4"/>
    <x v="1"/>
  </r>
  <r>
    <s v="EMP0195"/>
    <x v="181"/>
    <x v="8"/>
    <n v="282075"/>
    <n v="66998"/>
    <n v="31028"/>
    <n v="15"/>
    <n v="102.80000000000001"/>
    <n v="0.66666666666666696"/>
    <n v="0"/>
    <n v="0"/>
    <n v="69"/>
    <x v="3"/>
    <x v="2"/>
  </r>
  <r>
    <s v="EMP0196"/>
    <x v="182"/>
    <x v="6"/>
    <n v="500905"/>
    <n v="13646"/>
    <n v="55100"/>
    <n v="15"/>
    <n v="96.999999999999986"/>
    <n v="0.8"/>
    <n v="0"/>
    <n v="0"/>
    <n v="75"/>
    <x v="3"/>
    <x v="1"/>
  </r>
  <r>
    <s v="EMP0197"/>
    <x v="148"/>
    <x v="9"/>
    <n v="427316"/>
    <n v="28052"/>
    <n v="47005"/>
    <n v="15"/>
    <n v="97.200000000000017"/>
    <n v="0.73333333333333295"/>
    <n v="0"/>
    <n v="0"/>
    <n v="79"/>
    <x v="3"/>
    <x v="1"/>
  </r>
  <r>
    <s v="EMP0214"/>
    <x v="172"/>
    <x v="7"/>
    <n v="370416"/>
    <n v="32168"/>
    <n v="40746"/>
    <n v="15"/>
    <n v="104.3"/>
    <n v="0.8"/>
    <n v="5"/>
    <n v="1"/>
    <n v="63"/>
    <x v="0"/>
    <x v="2"/>
  </r>
  <r>
    <s v="EMP0198"/>
    <x v="183"/>
    <x v="6"/>
    <n v="570423"/>
    <n v="85103"/>
    <n v="62747"/>
    <n v="15"/>
    <n v="117.19999999999999"/>
    <n v="0.93333333333333302"/>
    <n v="0"/>
    <n v="0"/>
    <n v="78"/>
    <x v="3"/>
    <x v="1"/>
  </r>
  <r>
    <s v="EMP0199"/>
    <x v="184"/>
    <x v="1"/>
    <n v="329247"/>
    <n v="39178"/>
    <n v="36217"/>
    <n v="15"/>
    <n v="118.70000000000002"/>
    <n v="0.86666666666666703"/>
    <n v="12"/>
    <n v="1"/>
    <n v="82"/>
    <x v="0"/>
    <x v="3"/>
  </r>
  <r>
    <s v="EMP0200"/>
    <x v="185"/>
    <x v="3"/>
    <n v="512166"/>
    <n v="16148"/>
    <n v="56338"/>
    <n v="15"/>
    <n v="101.8"/>
    <n v="0.8"/>
    <n v="0"/>
    <n v="0"/>
    <n v="99"/>
    <x v="1"/>
    <x v="0"/>
  </r>
  <r>
    <s v="EMP0201"/>
    <x v="53"/>
    <x v="9"/>
    <n v="408980"/>
    <n v="74269"/>
    <n v="44988"/>
    <n v="15"/>
    <n v="112.3"/>
    <n v="0.86666666666666703"/>
    <n v="7"/>
    <n v="1"/>
    <n v="70"/>
    <x v="0"/>
    <x v="1"/>
  </r>
  <r>
    <s v="EMP0327"/>
    <x v="186"/>
    <x v="0"/>
    <n v="605266"/>
    <n v="72986"/>
    <n v="66579"/>
    <n v="15"/>
    <n v="103.7"/>
    <n v="0.8"/>
    <n v="3"/>
    <n v="1"/>
    <n v="55"/>
    <x v="1"/>
    <x v="2"/>
  </r>
  <r>
    <s v="EMP0204"/>
    <x v="21"/>
    <x v="0"/>
    <n v="794983"/>
    <n v="70523"/>
    <n v="87448"/>
    <n v="14"/>
    <n v="96.300000000000011"/>
    <n v="0.85714285714285698"/>
    <n v="0"/>
    <n v="0"/>
    <n v="55"/>
    <x v="2"/>
    <x v="2"/>
  </r>
  <r>
    <s v="EMP0205"/>
    <x v="187"/>
    <x v="6"/>
    <n v="403918"/>
    <n v="26674"/>
    <n v="44431"/>
    <n v="15"/>
    <n v="94"/>
    <n v="0.8"/>
    <n v="0"/>
    <n v="0"/>
    <n v="99"/>
    <x v="4"/>
    <x v="0"/>
  </r>
  <r>
    <s v="EMP0228"/>
    <x v="122"/>
    <x v="6"/>
    <n v="611870"/>
    <n v="47326"/>
    <n v="67306"/>
    <n v="15"/>
    <n v="99.800000000000026"/>
    <n v="0.73333333333333295"/>
    <n v="24"/>
    <n v="3"/>
    <n v="58"/>
    <x v="3"/>
    <x v="2"/>
  </r>
  <r>
    <s v="EMP0206"/>
    <x v="152"/>
    <x v="3"/>
    <n v="774271"/>
    <n v="74159"/>
    <n v="85170"/>
    <n v="15"/>
    <n v="112.39999999999999"/>
    <n v="0.8"/>
    <n v="10"/>
    <n v="1"/>
    <n v="64"/>
    <x v="3"/>
    <x v="2"/>
  </r>
  <r>
    <s v="EMP0207"/>
    <x v="53"/>
    <x v="8"/>
    <n v="726471"/>
    <n v="84942"/>
    <n v="79912"/>
    <n v="15"/>
    <n v="78.999999999999986"/>
    <n v="0.53333333333333299"/>
    <n v="0"/>
    <n v="0"/>
    <n v="75"/>
    <x v="3"/>
    <x v="1"/>
  </r>
  <r>
    <s v="EMP0274"/>
    <x v="188"/>
    <x v="2"/>
    <n v="248727"/>
    <n v="5286"/>
    <m/>
    <n v="15"/>
    <n v="102.8"/>
    <n v="0.73333333333333295"/>
    <n v="7"/>
    <n v="1"/>
    <n v="57"/>
    <x v="2"/>
    <x v="2"/>
  </r>
  <r>
    <s v="EMP0208"/>
    <x v="189"/>
    <x v="0"/>
    <n v="436488"/>
    <n v="13167"/>
    <n v="48014"/>
    <n v="15"/>
    <n v="105.4"/>
    <n v="0.8"/>
    <n v="5"/>
    <n v="1"/>
    <n v="98"/>
    <x v="3"/>
    <x v="0"/>
  </r>
  <r>
    <s v="EMP0210"/>
    <x v="190"/>
    <x v="7"/>
    <n v="764139"/>
    <n v="40844"/>
    <n v="84055"/>
    <n v="15"/>
    <n v="108.3"/>
    <n v="0.73333333333333295"/>
    <n v="0"/>
    <n v="0"/>
    <n v="97"/>
    <x v="4"/>
    <x v="0"/>
  </r>
  <r>
    <s v="EMP0216"/>
    <x v="108"/>
    <x v="6"/>
    <n v="635099"/>
    <n v="41321"/>
    <n v="69861"/>
    <n v="15"/>
    <n v="110.5"/>
    <n v="0.86666666666666703"/>
    <n v="7"/>
    <n v="2"/>
    <n v="73"/>
    <x v="2"/>
    <x v="1"/>
  </r>
  <r>
    <s v="EMP0212"/>
    <x v="71"/>
    <x v="3"/>
    <n v="496090"/>
    <n v="36764"/>
    <n v="54570"/>
    <n v="15"/>
    <n v="112.10000000000001"/>
    <n v="0.8"/>
    <n v="0"/>
    <n v="0"/>
    <n v="86"/>
    <x v="4"/>
    <x v="3"/>
  </r>
  <r>
    <s v="EMP0213"/>
    <x v="3"/>
    <x v="10"/>
    <n v="714918"/>
    <n v="6644"/>
    <n v="78641"/>
    <n v="15"/>
    <n v="114.10000000000001"/>
    <n v="0.86666666666666703"/>
    <n v="0"/>
    <n v="0"/>
    <n v="97"/>
    <x v="1"/>
    <x v="0"/>
  </r>
  <r>
    <s v="EMP0215"/>
    <x v="95"/>
    <x v="6"/>
    <n v="537160"/>
    <n v="1250"/>
    <n v="59088"/>
    <n v="15"/>
    <n v="103.7"/>
    <n v="0.8"/>
    <n v="0"/>
    <n v="0"/>
    <n v="87"/>
    <x v="0"/>
    <x v="3"/>
  </r>
  <r>
    <s v="EMP0246"/>
    <x v="8"/>
    <x v="5"/>
    <n v="433878"/>
    <n v="19203"/>
    <n v="47727"/>
    <n v="15"/>
    <n v="97.199999999999989"/>
    <n v="0.66666666666666696"/>
    <n v="7"/>
    <n v="1"/>
    <n v="94"/>
    <x v="0"/>
    <x v="0"/>
  </r>
  <r>
    <s v="EMP0217"/>
    <x v="191"/>
    <x v="10"/>
    <n v="232889"/>
    <n v="73939"/>
    <n v="25618"/>
    <n v="15"/>
    <n v="112.79999999999998"/>
    <n v="0.66666666666666696"/>
    <n v="9"/>
    <n v="1"/>
    <n v="87"/>
    <x v="1"/>
    <x v="3"/>
  </r>
  <r>
    <s v="EMP0219"/>
    <x v="192"/>
    <x v="8"/>
    <n v="542385"/>
    <n v="21801"/>
    <n v="59662"/>
    <n v="14"/>
    <n v="103.1"/>
    <n v="0.78571428571428603"/>
    <n v="0"/>
    <n v="0"/>
    <n v="78"/>
    <x v="1"/>
    <x v="1"/>
  </r>
  <r>
    <s v="EMP0220"/>
    <x v="193"/>
    <x v="7"/>
    <n v="633563"/>
    <n v="16160"/>
    <n v="69692"/>
    <n v="15"/>
    <n v="99.5"/>
    <n v="0.4"/>
    <n v="0"/>
    <n v="0"/>
    <n v="60"/>
    <x v="3"/>
    <x v="2"/>
  </r>
  <r>
    <s v="EMP0221"/>
    <x v="194"/>
    <x v="7"/>
    <n v="280579"/>
    <n v="55660"/>
    <n v="30864"/>
    <n v="15"/>
    <n v="87.399999999999991"/>
    <n v="0.73333333333333295"/>
    <n v="0"/>
    <n v="0"/>
    <n v="64"/>
    <x v="1"/>
    <x v="2"/>
  </r>
  <r>
    <s v="EMP0222"/>
    <x v="195"/>
    <x v="4"/>
    <n v="223454"/>
    <n v="34414"/>
    <n v="24580"/>
    <n v="15"/>
    <n v="103.49999999999999"/>
    <n v="0.86666666666666703"/>
    <n v="11"/>
    <n v="1"/>
    <n v="94"/>
    <x v="3"/>
    <x v="0"/>
  </r>
  <r>
    <s v="EMP0223"/>
    <x v="32"/>
    <x v="4"/>
    <n v="393534"/>
    <n v="75858"/>
    <n v="43289"/>
    <n v="15"/>
    <n v="92.199999999999989"/>
    <n v="0.66666666666666696"/>
    <n v="0"/>
    <n v="0"/>
    <n v="80"/>
    <x v="4"/>
    <x v="3"/>
  </r>
  <r>
    <s v="EMP0225"/>
    <x v="196"/>
    <x v="5"/>
    <n v="494739"/>
    <n v="30588"/>
    <n v="54421"/>
    <n v="15"/>
    <n v="112.99999999999999"/>
    <n v="0.8"/>
    <n v="0"/>
    <n v="0"/>
    <n v="79"/>
    <x v="3"/>
    <x v="1"/>
  </r>
  <r>
    <s v="EMP0255"/>
    <x v="197"/>
    <x v="4"/>
    <n v="574756"/>
    <n v="57297"/>
    <n v="63223"/>
    <n v="15"/>
    <n v="97.4"/>
    <n v="0.66666666666666696"/>
    <n v="12"/>
    <n v="1"/>
    <n v="71"/>
    <x v="1"/>
    <x v="1"/>
  </r>
  <r>
    <s v="EMP0226"/>
    <x v="103"/>
    <x v="2"/>
    <n v="795030"/>
    <n v="11519"/>
    <n v="87453"/>
    <n v="15"/>
    <n v="103.29999999999998"/>
    <n v="0.73333333333333295"/>
    <n v="0"/>
    <n v="0"/>
    <n v="76"/>
    <x v="3"/>
    <x v="1"/>
  </r>
  <r>
    <s v="EMP0229"/>
    <x v="6"/>
    <x v="5"/>
    <n v="649206"/>
    <n v="86533"/>
    <n v="71413"/>
    <n v="15"/>
    <n v="123.69999999999997"/>
    <n v="0.93333333333333302"/>
    <n v="0"/>
    <n v="0"/>
    <n v="78"/>
    <x v="2"/>
    <x v="1"/>
  </r>
  <r>
    <s v="EMP0230"/>
    <x v="198"/>
    <x v="6"/>
    <n v="352358"/>
    <n v="59939"/>
    <n v="38759"/>
    <n v="15"/>
    <n v="107.60000000000001"/>
    <n v="0.8"/>
    <n v="0"/>
    <n v="0"/>
    <n v="64"/>
    <x v="0"/>
    <x v="2"/>
  </r>
  <r>
    <s v="EMP0374"/>
    <x v="193"/>
    <x v="9"/>
    <n v="513382"/>
    <n v="84520"/>
    <n v="56472"/>
    <n v="15"/>
    <n v="108.69999999999999"/>
    <n v="0.8"/>
    <n v="11"/>
    <n v="1"/>
    <n v="91"/>
    <x v="1"/>
    <x v="0"/>
  </r>
  <r>
    <s v="EMP0231"/>
    <x v="199"/>
    <x v="2"/>
    <n v="525187"/>
    <n v="13530"/>
    <n v="57771"/>
    <n v="15"/>
    <n v="109.8"/>
    <n v="0.86666666666666703"/>
    <n v="11"/>
    <n v="1"/>
    <n v="63"/>
    <x v="3"/>
    <x v="2"/>
  </r>
  <r>
    <s v="EMP0232"/>
    <x v="200"/>
    <x v="3"/>
    <n v="696723"/>
    <n v="34426"/>
    <n v="76640"/>
    <n v="15"/>
    <n v="104.3"/>
    <n v="0.73333333333333295"/>
    <n v="0"/>
    <n v="0"/>
    <n v="62"/>
    <x v="1"/>
    <x v="2"/>
  </r>
  <r>
    <s v="EMP0233"/>
    <x v="105"/>
    <x v="1"/>
    <n v="776721"/>
    <n v="33588"/>
    <m/>
    <n v="15"/>
    <n v="118.59999999999998"/>
    <n v="0.66666666666666696"/>
    <n v="0"/>
    <n v="0"/>
    <n v="57"/>
    <x v="3"/>
    <x v="2"/>
  </r>
  <r>
    <s v="EMP0234"/>
    <x v="201"/>
    <x v="10"/>
    <n v="528873"/>
    <n v="9529"/>
    <n v="58176"/>
    <n v="15"/>
    <n v="102.8"/>
    <n v="0.8"/>
    <n v="2"/>
    <n v="1"/>
    <n v="91"/>
    <x v="4"/>
    <x v="0"/>
  </r>
  <r>
    <s v="EMP0235"/>
    <x v="202"/>
    <x v="7"/>
    <n v="308316"/>
    <n v="73132"/>
    <n v="33915"/>
    <n v="15"/>
    <n v="113.8"/>
    <n v="0.73333333333333295"/>
    <n v="0"/>
    <n v="0"/>
    <n v="99"/>
    <x v="4"/>
    <x v="0"/>
  </r>
  <r>
    <s v="EMP0236"/>
    <x v="46"/>
    <x v="0"/>
    <n v="416599"/>
    <n v="1474"/>
    <n v="45826"/>
    <n v="15"/>
    <n v="105.99999999999999"/>
    <n v="0.73333333333333295"/>
    <n v="0"/>
    <n v="0"/>
    <n v="55"/>
    <x v="3"/>
    <x v="2"/>
  </r>
  <r>
    <s v="EMP0237"/>
    <x v="202"/>
    <x v="2"/>
    <n v="503449"/>
    <n v="40299"/>
    <n v="55379"/>
    <n v="15"/>
    <n v="100.60000000000002"/>
    <n v="0.73333333333333295"/>
    <n v="0"/>
    <n v="0"/>
    <n v="79"/>
    <x v="0"/>
    <x v="1"/>
  </r>
  <r>
    <s v="EMP0238"/>
    <x v="203"/>
    <x v="8"/>
    <n v="744448"/>
    <n v="83331"/>
    <n v="81889"/>
    <n v="15"/>
    <n v="98.199999999999989"/>
    <n v="0.66666666666666696"/>
    <n v="0"/>
    <n v="0"/>
    <n v="63"/>
    <x v="4"/>
    <x v="2"/>
  </r>
  <r>
    <s v="EMP0278"/>
    <x v="204"/>
    <x v="0"/>
    <n v="322088"/>
    <n v="52249"/>
    <n v="35430"/>
    <n v="14"/>
    <n v="82.8"/>
    <n v="0.57142857142857095"/>
    <n v="9"/>
    <n v="1"/>
    <n v="94"/>
    <x v="4"/>
    <x v="0"/>
  </r>
  <r>
    <s v="EMP0239"/>
    <x v="6"/>
    <x v="3"/>
    <n v="615941"/>
    <n v="18878"/>
    <n v="67754"/>
    <n v="15"/>
    <n v="103.59999999999998"/>
    <n v="0.73333333333333295"/>
    <n v="0"/>
    <n v="0"/>
    <n v="81"/>
    <x v="0"/>
    <x v="3"/>
  </r>
  <r>
    <s v="EMP0240"/>
    <x v="205"/>
    <x v="0"/>
    <n v="252236"/>
    <n v="86863"/>
    <n v="27746"/>
    <n v="15"/>
    <n v="105.10000000000001"/>
    <n v="0.66666666666666696"/>
    <n v="0"/>
    <n v="0"/>
    <n v="85"/>
    <x v="2"/>
    <x v="3"/>
  </r>
  <r>
    <s v="EMP0271"/>
    <x v="206"/>
    <x v="6"/>
    <n v="606131"/>
    <n v="25216"/>
    <n v="66674"/>
    <n v="15"/>
    <n v="118.10000000000001"/>
    <n v="1"/>
    <n v="14"/>
    <n v="1"/>
    <n v="56"/>
    <x v="4"/>
    <x v="2"/>
  </r>
  <r>
    <s v="EMP0242"/>
    <x v="79"/>
    <x v="5"/>
    <n v="318621"/>
    <n v="69964"/>
    <n v="35048"/>
    <n v="15"/>
    <n v="111.4"/>
    <n v="0.73333333333333295"/>
    <n v="0"/>
    <n v="0"/>
    <n v="95"/>
    <x v="3"/>
    <x v="0"/>
  </r>
  <r>
    <s v="EMP0243"/>
    <x v="207"/>
    <x v="6"/>
    <n v="516493"/>
    <n v="29913"/>
    <n v="56814"/>
    <n v="15"/>
    <n v="112.60000000000001"/>
    <n v="0.8"/>
    <n v="0"/>
    <n v="0"/>
    <n v="77"/>
    <x v="2"/>
    <x v="1"/>
  </r>
  <r>
    <s v="EMP0244"/>
    <x v="208"/>
    <x v="8"/>
    <n v="223594"/>
    <n v="38813"/>
    <n v="24595"/>
    <n v="15"/>
    <n v="96.200000000000017"/>
    <n v="0.66666666666666696"/>
    <n v="0"/>
    <n v="0"/>
    <n v="63"/>
    <x v="2"/>
    <x v="2"/>
  </r>
  <r>
    <s v="EMP0245"/>
    <x v="209"/>
    <x v="9"/>
    <n v="222817"/>
    <n v="70025"/>
    <n v="24510"/>
    <n v="14"/>
    <n v="87"/>
    <n v="0.78571428571428603"/>
    <n v="6"/>
    <n v="1"/>
    <n v="57"/>
    <x v="2"/>
    <x v="2"/>
  </r>
  <r>
    <s v="EMP0339"/>
    <x v="210"/>
    <x v="0"/>
    <n v="437482"/>
    <n v="8841"/>
    <n v="48123"/>
    <n v="15"/>
    <n v="116.00000000000001"/>
    <n v="0.73333333333333295"/>
    <n v="13"/>
    <n v="1"/>
    <n v="94"/>
    <x v="4"/>
    <x v="0"/>
  </r>
  <r>
    <s v="EMP0248"/>
    <x v="131"/>
    <x v="5"/>
    <n v="250619"/>
    <n v="79210"/>
    <n v="27568"/>
    <n v="15"/>
    <n v="106.00000000000001"/>
    <n v="0.8"/>
    <n v="0"/>
    <n v="0"/>
    <n v="74"/>
    <x v="3"/>
    <x v="1"/>
  </r>
  <r>
    <s v="EMP0249"/>
    <x v="211"/>
    <x v="6"/>
    <n v="786587"/>
    <n v="89248"/>
    <n v="86525"/>
    <n v="15"/>
    <n v="106.49999999999999"/>
    <n v="0.8"/>
    <n v="0"/>
    <n v="0"/>
    <n v="68"/>
    <x v="4"/>
    <x v="2"/>
  </r>
  <r>
    <s v="EMP0325"/>
    <x v="57"/>
    <x v="0"/>
    <n v="805536"/>
    <n v="57292"/>
    <n v="88609"/>
    <n v="15"/>
    <n v="105.5"/>
    <n v="0.73333333333333295"/>
    <n v="9"/>
    <n v="1"/>
    <n v="85"/>
    <x v="4"/>
    <x v="3"/>
  </r>
  <r>
    <s v="EMP0250"/>
    <x v="212"/>
    <x v="1"/>
    <n v="739081"/>
    <n v="55146"/>
    <m/>
    <n v="15"/>
    <n v="86.2"/>
    <n v="0.53333333333333299"/>
    <n v="26"/>
    <n v="2"/>
    <n v="79"/>
    <x v="1"/>
    <x v="1"/>
  </r>
  <r>
    <s v="EMP0354"/>
    <x v="96"/>
    <x v="2"/>
    <n v="588626"/>
    <n v="52710"/>
    <n v="64749"/>
    <n v="15"/>
    <n v="103.7"/>
    <n v="0.8"/>
    <n v="5"/>
    <n v="1"/>
    <n v="76"/>
    <x v="4"/>
    <x v="1"/>
  </r>
  <r>
    <s v="EMP0251"/>
    <x v="159"/>
    <x v="0"/>
    <n v="347515"/>
    <n v="50598"/>
    <n v="38227"/>
    <n v="15"/>
    <n v="108.1"/>
    <n v="0.8"/>
    <n v="0"/>
    <n v="0"/>
    <n v="60"/>
    <x v="0"/>
    <x v="2"/>
  </r>
  <r>
    <s v="EMP0252"/>
    <x v="213"/>
    <x v="0"/>
    <n v="837652"/>
    <n v="47300"/>
    <n v="92142"/>
    <n v="15"/>
    <n v="101.8"/>
    <n v="0.6"/>
    <n v="13"/>
    <n v="1"/>
    <n v="94"/>
    <x v="3"/>
    <x v="0"/>
  </r>
  <r>
    <s v="EMP0318"/>
    <x v="214"/>
    <x v="9"/>
    <n v="525754"/>
    <n v="1996"/>
    <n v="57833"/>
    <n v="15"/>
    <n v="105.39999999999999"/>
    <n v="0.8"/>
    <n v="8"/>
    <n v="1"/>
    <n v="75"/>
    <x v="3"/>
    <x v="1"/>
  </r>
  <r>
    <s v="EMP0254"/>
    <x v="215"/>
    <x v="8"/>
    <n v="269743"/>
    <n v="62202"/>
    <n v="29672"/>
    <n v="15"/>
    <n v="110.3"/>
    <n v="0.86666666666666703"/>
    <n v="0"/>
    <n v="0"/>
    <n v="88"/>
    <x v="4"/>
    <x v="3"/>
  </r>
  <r>
    <s v="EMP0347"/>
    <x v="216"/>
    <x v="7"/>
    <n v="829155"/>
    <n v="11088"/>
    <n v="91207"/>
    <n v="15"/>
    <n v="105.4"/>
    <n v="0.8"/>
    <n v="19"/>
    <n v="2"/>
    <n v="56"/>
    <x v="3"/>
    <x v="2"/>
  </r>
  <r>
    <s v="EMP0256"/>
    <x v="190"/>
    <x v="0"/>
    <n v="788977"/>
    <n v="50451"/>
    <m/>
    <n v="15"/>
    <n v="98.8"/>
    <n v="0.8"/>
    <n v="0"/>
    <n v="0"/>
    <n v="64"/>
    <x v="1"/>
    <x v="2"/>
  </r>
  <r>
    <s v="EMP0257"/>
    <x v="217"/>
    <x v="4"/>
    <n v="535547"/>
    <n v="83388"/>
    <n v="58910"/>
    <n v="15"/>
    <n v="71.799999999999983"/>
    <n v="0.46666666666666701"/>
    <n v="0"/>
    <n v="0"/>
    <n v="90"/>
    <x v="0"/>
    <x v="0"/>
  </r>
  <r>
    <s v="EMP0258"/>
    <x v="90"/>
    <x v="2"/>
    <n v="294659"/>
    <n v="44824"/>
    <n v="32412"/>
    <n v="15"/>
    <n v="103.10000000000001"/>
    <n v="0.73333333333333295"/>
    <n v="0"/>
    <n v="0"/>
    <n v="80"/>
    <x v="3"/>
    <x v="3"/>
  </r>
  <r>
    <s v="EMP0259"/>
    <x v="218"/>
    <x v="9"/>
    <n v="438159"/>
    <n v="1183"/>
    <n v="48197"/>
    <n v="15"/>
    <n v="120.89999999999999"/>
    <n v="0.66666666666666696"/>
    <n v="0"/>
    <n v="0"/>
    <n v="85"/>
    <x v="1"/>
    <x v="3"/>
  </r>
  <r>
    <s v="EMP0260"/>
    <x v="217"/>
    <x v="8"/>
    <n v="556774"/>
    <n v="58508"/>
    <n v="61245"/>
    <n v="15"/>
    <n v="117.50000000000001"/>
    <n v="0.93333333333333302"/>
    <n v="0"/>
    <n v="0"/>
    <n v="95"/>
    <x v="3"/>
    <x v="0"/>
  </r>
  <r>
    <s v="EMP0261"/>
    <x v="219"/>
    <x v="3"/>
    <n v="769968"/>
    <n v="25183"/>
    <n v="84696"/>
    <n v="15"/>
    <n v="104.19999999999997"/>
    <n v="0.53333333333333299"/>
    <n v="2"/>
    <n v="1"/>
    <n v="91"/>
    <x v="4"/>
    <x v="0"/>
  </r>
  <r>
    <s v="EMP0262"/>
    <x v="8"/>
    <x v="4"/>
    <n v="285617"/>
    <n v="11653"/>
    <n v="31418"/>
    <n v="15"/>
    <n v="106.40000000000002"/>
    <n v="0.86666666666666703"/>
    <n v="0"/>
    <n v="0"/>
    <n v="55"/>
    <x v="0"/>
    <x v="2"/>
  </r>
  <r>
    <s v="EMP0263"/>
    <x v="187"/>
    <x v="0"/>
    <n v="762181"/>
    <n v="50223"/>
    <n v="83840"/>
    <n v="15"/>
    <n v="105.00000000000001"/>
    <n v="0.73333333333333295"/>
    <n v="0"/>
    <n v="0"/>
    <n v="88"/>
    <x v="0"/>
    <x v="3"/>
  </r>
  <r>
    <s v="EMP0264"/>
    <x v="8"/>
    <x v="5"/>
    <n v="845677"/>
    <n v="10138"/>
    <n v="93024"/>
    <n v="15"/>
    <n v="94"/>
    <n v="0.66666666666666696"/>
    <n v="0"/>
    <n v="0"/>
    <n v="70"/>
    <x v="1"/>
    <x v="1"/>
  </r>
  <r>
    <s v="EMP0266"/>
    <x v="98"/>
    <x v="2"/>
    <n v="647546"/>
    <n v="4136"/>
    <n v="71230"/>
    <n v="15"/>
    <n v="97.2"/>
    <n v="0.8"/>
    <n v="0"/>
    <n v="0"/>
    <n v="57"/>
    <x v="3"/>
    <x v="2"/>
  </r>
  <r>
    <s v="EMP0268"/>
    <x v="215"/>
    <x v="5"/>
    <n v="376371"/>
    <n v="37695"/>
    <n v="41401"/>
    <n v="15"/>
    <n v="115.1"/>
    <n v="0.86666666666666703"/>
    <n v="0"/>
    <n v="0"/>
    <n v="63"/>
    <x v="4"/>
    <x v="2"/>
  </r>
  <r>
    <s v="EMP0269"/>
    <x v="149"/>
    <x v="0"/>
    <n v="818198"/>
    <n v="67724"/>
    <m/>
    <n v="15"/>
    <n v="108.6"/>
    <n v="0.86666666666666703"/>
    <n v="0"/>
    <n v="0"/>
    <n v="90"/>
    <x v="3"/>
    <x v="0"/>
  </r>
  <r>
    <s v="EMP0270"/>
    <x v="107"/>
    <x v="5"/>
    <n v="411319"/>
    <n v="88992"/>
    <n v="45245"/>
    <n v="15"/>
    <n v="109.89999999999999"/>
    <n v="0.93333333333333302"/>
    <n v="0"/>
    <n v="0"/>
    <n v="64"/>
    <x v="2"/>
    <x v="2"/>
  </r>
  <r>
    <s v="EMP0277"/>
    <x v="107"/>
    <x v="2"/>
    <n v="390272"/>
    <n v="39611"/>
    <n v="42930"/>
    <n v="14"/>
    <n v="74.400000000000006"/>
    <n v="0.57142857142857095"/>
    <n v="12"/>
    <n v="1"/>
    <n v="60"/>
    <x v="2"/>
    <x v="2"/>
  </r>
  <r>
    <s v="EMP0272"/>
    <x v="63"/>
    <x v="5"/>
    <n v="438491"/>
    <n v="29861"/>
    <n v="48234"/>
    <n v="15"/>
    <n v="103.6"/>
    <n v="0.6"/>
    <n v="0"/>
    <n v="0"/>
    <n v="81"/>
    <x v="0"/>
    <x v="3"/>
  </r>
  <r>
    <s v="EMP0273"/>
    <x v="220"/>
    <x v="0"/>
    <n v="299840"/>
    <n v="36160"/>
    <n v="32982"/>
    <n v="15"/>
    <n v="86.499999999999986"/>
    <n v="0.73333333333333295"/>
    <n v="0"/>
    <n v="0"/>
    <n v="78"/>
    <x v="3"/>
    <x v="1"/>
  </r>
  <r>
    <s v="EMP0275"/>
    <x v="221"/>
    <x v="7"/>
    <n v="546298"/>
    <n v="42037"/>
    <n v="60093"/>
    <n v="15"/>
    <n v="97.8"/>
    <n v="0.8"/>
    <n v="0"/>
    <n v="0"/>
    <n v="67"/>
    <x v="2"/>
    <x v="2"/>
  </r>
  <r>
    <s v="EMP0276"/>
    <x v="222"/>
    <x v="8"/>
    <n v="296464"/>
    <n v="13175"/>
    <n v="32611"/>
    <n v="15"/>
    <n v="104.39999999999999"/>
    <n v="0.66666666666666696"/>
    <n v="0"/>
    <n v="0"/>
    <n v="89"/>
    <x v="4"/>
    <x v="3"/>
  </r>
  <r>
    <s v="EMP0381"/>
    <x v="223"/>
    <x v="9"/>
    <n v="508131"/>
    <n v="54614"/>
    <n v="55894"/>
    <n v="15"/>
    <n v="107.7"/>
    <n v="0.86666666666666703"/>
    <n v="3"/>
    <n v="1"/>
    <n v="87"/>
    <x v="1"/>
    <x v="3"/>
  </r>
  <r>
    <s v="EMP0279"/>
    <x v="224"/>
    <x v="5"/>
    <n v="647783"/>
    <n v="43960"/>
    <n v="71256"/>
    <n v="15"/>
    <n v="73.8"/>
    <n v="0.53333333333333299"/>
    <n v="0"/>
    <n v="0"/>
    <n v="95"/>
    <x v="4"/>
    <x v="0"/>
  </r>
  <r>
    <s v="EMP0280"/>
    <x v="43"/>
    <x v="1"/>
    <n v="771565"/>
    <n v="37480"/>
    <n v="84872"/>
    <n v="15"/>
    <n v="88.399999999999977"/>
    <n v="0.53333333333333299"/>
    <n v="0"/>
    <n v="0"/>
    <n v="76"/>
    <x v="1"/>
    <x v="1"/>
  </r>
  <r>
    <s v="EMP0281"/>
    <x v="105"/>
    <x v="3"/>
    <n v="750924"/>
    <n v="35835"/>
    <n v="82602"/>
    <n v="15"/>
    <n v="102.9"/>
    <n v="0.73333333333333295"/>
    <n v="10"/>
    <n v="1"/>
    <n v="61"/>
    <x v="0"/>
    <x v="2"/>
  </r>
  <r>
    <s v="EMP0282"/>
    <x v="179"/>
    <x v="5"/>
    <n v="652222"/>
    <n v="87479"/>
    <m/>
    <n v="15"/>
    <n v="103.60000000000001"/>
    <n v="0.8"/>
    <n v="0"/>
    <n v="0"/>
    <n v="79"/>
    <x v="1"/>
    <x v="1"/>
  </r>
  <r>
    <s v="EMP0283"/>
    <x v="225"/>
    <x v="0"/>
    <n v="301131"/>
    <n v="4820"/>
    <n v="33124"/>
    <n v="15"/>
    <n v="103.8"/>
    <n v="0.8"/>
    <n v="5"/>
    <n v="1"/>
    <n v="67"/>
    <x v="4"/>
    <x v="2"/>
  </r>
  <r>
    <s v="EMP0284"/>
    <x v="226"/>
    <x v="5"/>
    <n v="340489"/>
    <n v="65541"/>
    <n v="37454"/>
    <n v="15"/>
    <n v="103"/>
    <n v="0.8"/>
    <n v="0"/>
    <n v="0"/>
    <n v="71"/>
    <x v="0"/>
    <x v="1"/>
  </r>
  <r>
    <s v="EMP0285"/>
    <x v="105"/>
    <x v="0"/>
    <n v="505279"/>
    <n v="56506"/>
    <n v="55581"/>
    <n v="15"/>
    <n v="94.7"/>
    <n v="0.6"/>
    <n v="4"/>
    <n v="1"/>
    <n v="76"/>
    <x v="3"/>
    <x v="1"/>
  </r>
  <r>
    <s v="EMP0286"/>
    <x v="197"/>
    <x v="3"/>
    <n v="434082"/>
    <n v="68249"/>
    <n v="47749"/>
    <n v="15"/>
    <n v="89.999999999999986"/>
    <n v="0.66666666666666696"/>
    <n v="0"/>
    <n v="0"/>
    <n v="76"/>
    <x v="3"/>
    <x v="1"/>
  </r>
  <r>
    <s v="EMP0287"/>
    <x v="209"/>
    <x v="8"/>
    <n v="841396"/>
    <n v="67581"/>
    <n v="92554"/>
    <n v="14"/>
    <n v="91.399999999999991"/>
    <n v="0.78571428571428603"/>
    <n v="0"/>
    <n v="0"/>
    <n v="96"/>
    <x v="4"/>
    <x v="0"/>
  </r>
  <r>
    <s v="EMP0288"/>
    <x v="227"/>
    <x v="3"/>
    <n v="688218"/>
    <n v="84837"/>
    <n v="75704"/>
    <n v="15"/>
    <n v="94.4"/>
    <n v="0.73333333333333295"/>
    <n v="0"/>
    <n v="0"/>
    <n v="98"/>
    <x v="1"/>
    <x v="0"/>
  </r>
  <r>
    <s v="EMP0289"/>
    <x v="228"/>
    <x v="5"/>
    <n v="567645"/>
    <n v="52750"/>
    <n v="62441"/>
    <n v="15"/>
    <n v="71.2"/>
    <n v="0.53333333333333299"/>
    <n v="0"/>
    <n v="0"/>
    <n v="63"/>
    <x v="4"/>
    <x v="2"/>
  </r>
  <r>
    <s v="EMP0292"/>
    <x v="10"/>
    <x v="3"/>
    <n v="494943"/>
    <n v="42515"/>
    <n v="54444"/>
    <n v="15"/>
    <n v="87"/>
    <n v="0.73333333333333295"/>
    <n v="13"/>
    <n v="1"/>
    <n v="61"/>
    <x v="2"/>
    <x v="2"/>
  </r>
  <r>
    <s v="EMP0293"/>
    <x v="229"/>
    <x v="8"/>
    <n v="236300"/>
    <n v="78115"/>
    <n v="25993"/>
    <n v="15"/>
    <n v="81.3"/>
    <n v="0.53333333333333299"/>
    <n v="0"/>
    <n v="0"/>
    <n v="89"/>
    <x v="2"/>
    <x v="3"/>
  </r>
  <r>
    <s v="EMP0295"/>
    <x v="230"/>
    <x v="9"/>
    <n v="335601"/>
    <n v="41181"/>
    <n v="36916"/>
    <n v="15"/>
    <n v="105"/>
    <n v="0.73333333333333295"/>
    <n v="0"/>
    <n v="0"/>
    <n v="57"/>
    <x v="0"/>
    <x v="2"/>
  </r>
  <r>
    <s v="EMP0296"/>
    <x v="60"/>
    <x v="1"/>
    <n v="734351"/>
    <n v="5431"/>
    <n v="80779"/>
    <n v="15"/>
    <n v="98.399999999999991"/>
    <n v="0.6"/>
    <n v="0"/>
    <n v="0"/>
    <n v="66"/>
    <x v="3"/>
    <x v="2"/>
  </r>
  <r>
    <s v="EMP0297"/>
    <x v="144"/>
    <x v="7"/>
    <n v="794897"/>
    <n v="3522"/>
    <n v="87439"/>
    <n v="15"/>
    <n v="94.899999999999991"/>
    <n v="0.8"/>
    <n v="0"/>
    <n v="0"/>
    <n v="90"/>
    <x v="4"/>
    <x v="0"/>
  </r>
  <r>
    <s v="EMP0298"/>
    <x v="153"/>
    <x v="2"/>
    <n v="842898"/>
    <n v="65450"/>
    <n v="92719"/>
    <n v="15"/>
    <n v="111.8"/>
    <n v="0.86666666666666703"/>
    <n v="0"/>
    <n v="0"/>
    <n v="86"/>
    <x v="3"/>
    <x v="3"/>
  </r>
  <r>
    <s v="EMP0350"/>
    <x v="75"/>
    <x v="4"/>
    <n v="426678"/>
    <n v="67559"/>
    <n v="46935"/>
    <n v="15"/>
    <n v="95.9"/>
    <n v="0.6"/>
    <n v="11"/>
    <n v="1"/>
    <n v="84"/>
    <x v="3"/>
    <x v="3"/>
  </r>
  <r>
    <s v="EMP0300"/>
    <x v="231"/>
    <x v="3"/>
    <n v="331328"/>
    <n v="31186"/>
    <n v="36446"/>
    <n v="15"/>
    <n v="105.80000000000001"/>
    <n v="0.53333333333333299"/>
    <n v="0"/>
    <n v="0"/>
    <n v="98"/>
    <x v="1"/>
    <x v="0"/>
  </r>
  <r>
    <s v="EMP0302"/>
    <x v="232"/>
    <x v="2"/>
    <n v="437144"/>
    <n v="88472"/>
    <n v="48086"/>
    <n v="15"/>
    <n v="122.30000000000001"/>
    <n v="0.73333333333333295"/>
    <n v="0"/>
    <n v="0"/>
    <n v="83"/>
    <x v="0"/>
    <x v="3"/>
  </r>
  <r>
    <s v="EMP0342"/>
    <x v="19"/>
    <x v="0"/>
    <n v="453927"/>
    <n v="39456"/>
    <n v="49932"/>
    <n v="15"/>
    <n v="111.3"/>
    <n v="0.93333333333333302"/>
    <n v="8"/>
    <n v="1"/>
    <n v="56"/>
    <x v="2"/>
    <x v="2"/>
  </r>
  <r>
    <s v="EMP0303"/>
    <x v="233"/>
    <x v="1"/>
    <n v="814514"/>
    <n v="68217"/>
    <n v="89597"/>
    <n v="15"/>
    <n v="82.40000000000002"/>
    <n v="0.6"/>
    <n v="7"/>
    <n v="1"/>
    <n v="90"/>
    <x v="0"/>
    <x v="0"/>
  </r>
  <r>
    <s v="EMP0304"/>
    <x v="114"/>
    <x v="5"/>
    <n v="647583"/>
    <n v="5863"/>
    <n v="71234"/>
    <n v="15"/>
    <n v="74.5"/>
    <n v="0.53333333333333299"/>
    <n v="0"/>
    <n v="0"/>
    <n v="76"/>
    <x v="0"/>
    <x v="1"/>
  </r>
  <r>
    <s v="EMP0306"/>
    <x v="164"/>
    <x v="8"/>
    <n v="567505"/>
    <n v="62322"/>
    <n v="62426"/>
    <n v="15"/>
    <n v="116.19999999999999"/>
    <n v="0.66666666666666696"/>
    <n v="0"/>
    <n v="0"/>
    <n v="87"/>
    <x v="1"/>
    <x v="3"/>
  </r>
  <r>
    <s v="EMP0308"/>
    <x v="234"/>
    <x v="7"/>
    <n v="222389"/>
    <n v="37582"/>
    <n v="24463"/>
    <n v="15"/>
    <n v="104.9"/>
    <n v="0.73333333333333295"/>
    <n v="0"/>
    <n v="0"/>
    <n v="97"/>
    <x v="1"/>
    <x v="0"/>
  </r>
  <r>
    <s v="EMP0310"/>
    <x v="106"/>
    <x v="2"/>
    <n v="650887"/>
    <n v="81411"/>
    <n v="71598"/>
    <n v="15"/>
    <n v="104.79999999999998"/>
    <n v="0.66666666666666696"/>
    <n v="0"/>
    <n v="0"/>
    <n v="100"/>
    <x v="3"/>
    <x v="0"/>
  </r>
  <r>
    <s v="EMP0311"/>
    <x v="188"/>
    <x v="0"/>
    <n v="339179"/>
    <n v="79386"/>
    <n v="37310"/>
    <n v="15"/>
    <n v="104.8"/>
    <n v="0.8"/>
    <n v="0"/>
    <n v="0"/>
    <n v="79"/>
    <x v="0"/>
    <x v="1"/>
  </r>
  <r>
    <s v="EMP0312"/>
    <x v="235"/>
    <x v="0"/>
    <n v="371999"/>
    <n v="69279"/>
    <n v="40920"/>
    <n v="14"/>
    <n v="96.700000000000017"/>
    <n v="0.78571428571428603"/>
    <n v="0"/>
    <n v="0"/>
    <n v="74"/>
    <x v="0"/>
    <x v="1"/>
  </r>
  <r>
    <s v="EMP0313"/>
    <x v="159"/>
    <x v="2"/>
    <n v="361957"/>
    <n v="26902"/>
    <n v="39815"/>
    <n v="15"/>
    <n v="103.89999999999999"/>
    <n v="0.73333333333333295"/>
    <n v="0"/>
    <n v="0"/>
    <n v="76"/>
    <x v="3"/>
    <x v="1"/>
  </r>
  <r>
    <s v="EMP0314"/>
    <x v="76"/>
    <x v="7"/>
    <n v="729650"/>
    <n v="69354"/>
    <n v="80262"/>
    <n v="15"/>
    <n v="102.5"/>
    <n v="0.8"/>
    <n v="2"/>
    <n v="1"/>
    <n v="96"/>
    <x v="0"/>
    <x v="0"/>
  </r>
  <r>
    <s v="EMP0315"/>
    <x v="231"/>
    <x v="9"/>
    <n v="448542"/>
    <n v="57985"/>
    <n v="49340"/>
    <n v="14"/>
    <n v="99.200000000000017"/>
    <n v="0.78571428571428603"/>
    <n v="0"/>
    <n v="0"/>
    <n v="61"/>
    <x v="4"/>
    <x v="2"/>
  </r>
  <r>
    <s v="EMP0316"/>
    <x v="140"/>
    <x v="5"/>
    <n v="309157"/>
    <n v="16866"/>
    <n v="34007"/>
    <n v="15"/>
    <n v="116.30000000000001"/>
    <n v="0.86666666666666703"/>
    <n v="5"/>
    <n v="1"/>
    <n v="98"/>
    <x v="4"/>
    <x v="0"/>
  </r>
  <r>
    <s v="EMP0317"/>
    <x v="202"/>
    <x v="7"/>
    <n v="743059"/>
    <n v="73394"/>
    <n v="81736"/>
    <n v="14"/>
    <n v="78.2"/>
    <n v="0.5"/>
    <n v="0"/>
    <n v="0"/>
    <n v="90"/>
    <x v="1"/>
    <x v="0"/>
  </r>
  <r>
    <s v="EMP0319"/>
    <x v="236"/>
    <x v="8"/>
    <n v="624872"/>
    <n v="48944"/>
    <n v="68736"/>
    <n v="15"/>
    <n v="108.8"/>
    <n v="0.8"/>
    <n v="0"/>
    <n v="0"/>
    <n v="98"/>
    <x v="3"/>
    <x v="0"/>
  </r>
  <r>
    <s v="EMP0320"/>
    <x v="237"/>
    <x v="2"/>
    <n v="739837"/>
    <n v="85835"/>
    <n v="81382"/>
    <n v="15"/>
    <n v="101.7"/>
    <n v="0.8"/>
    <n v="0"/>
    <n v="0"/>
    <n v="57"/>
    <x v="0"/>
    <x v="2"/>
  </r>
  <r>
    <s v="EMP0322"/>
    <x v="5"/>
    <x v="0"/>
    <n v="732254"/>
    <n v="48662"/>
    <m/>
    <n v="15"/>
    <n v="100"/>
    <n v="0.66666666666666696"/>
    <n v="0"/>
    <n v="0"/>
    <n v="64"/>
    <x v="4"/>
    <x v="2"/>
  </r>
  <r>
    <s v="EMP0323"/>
    <x v="238"/>
    <x v="6"/>
    <n v="441493"/>
    <n v="12822"/>
    <n v="48564"/>
    <n v="15"/>
    <n v="97.5"/>
    <n v="0.66666666666666696"/>
    <n v="0"/>
    <n v="0"/>
    <n v="97"/>
    <x v="2"/>
    <x v="0"/>
  </r>
  <r>
    <s v="EMP0324"/>
    <x v="130"/>
    <x v="6"/>
    <n v="741551"/>
    <n v="89496"/>
    <n v="81571"/>
    <n v="15"/>
    <n v="96.800000000000011"/>
    <n v="0.66666666666666696"/>
    <n v="0"/>
    <n v="0"/>
    <n v="76"/>
    <x v="3"/>
    <x v="1"/>
  </r>
  <r>
    <s v="EMP0326"/>
    <x v="239"/>
    <x v="0"/>
    <n v="719301"/>
    <n v="83926"/>
    <n v="79123"/>
    <n v="15"/>
    <n v="112.69999999999999"/>
    <n v="0.86666666666666703"/>
    <n v="0"/>
    <n v="0"/>
    <n v="91"/>
    <x v="4"/>
    <x v="0"/>
  </r>
  <r>
    <s v="EMP0328"/>
    <x v="240"/>
    <x v="1"/>
    <n v="391419"/>
    <n v="940"/>
    <n v="43056"/>
    <n v="15"/>
    <n v="114.10000000000002"/>
    <n v="0.73333333333333295"/>
    <n v="0"/>
    <n v="0"/>
    <n v="78"/>
    <x v="4"/>
    <x v="1"/>
  </r>
  <r>
    <s v="EMP0329"/>
    <x v="210"/>
    <x v="5"/>
    <n v="536180"/>
    <n v="44548"/>
    <n v="58980"/>
    <n v="15"/>
    <n v="120"/>
    <n v="0.86666666666666703"/>
    <n v="0"/>
    <n v="0"/>
    <n v="99"/>
    <x v="4"/>
    <x v="0"/>
  </r>
  <r>
    <s v="EMP0330"/>
    <x v="155"/>
    <x v="2"/>
    <n v="727311"/>
    <n v="48154"/>
    <n v="80004"/>
    <n v="15"/>
    <n v="113.6"/>
    <n v="0.93333333333333302"/>
    <n v="0"/>
    <n v="0"/>
    <n v="57"/>
    <x v="3"/>
    <x v="2"/>
  </r>
  <r>
    <s v="EMP0331"/>
    <x v="143"/>
    <x v="3"/>
    <n v="833195"/>
    <n v="29791"/>
    <n v="91651"/>
    <n v="14"/>
    <n v="106.7"/>
    <n v="0.71428571428571397"/>
    <n v="6"/>
    <n v="1"/>
    <n v="95"/>
    <x v="2"/>
    <x v="0"/>
  </r>
  <r>
    <s v="EMP0332"/>
    <x v="7"/>
    <x v="2"/>
    <n v="442851"/>
    <n v="78573"/>
    <n v="48714"/>
    <n v="15"/>
    <n v="94.899999999999991"/>
    <n v="0.66666666666666696"/>
    <n v="0"/>
    <n v="0"/>
    <n v="77"/>
    <x v="3"/>
    <x v="1"/>
  </r>
  <r>
    <s v="EMP0333"/>
    <x v="241"/>
    <x v="1"/>
    <n v="711916"/>
    <n v="66097"/>
    <n v="78311"/>
    <n v="15"/>
    <n v="103.70000000000002"/>
    <n v="0.6"/>
    <n v="0"/>
    <n v="0"/>
    <n v="67"/>
    <x v="1"/>
    <x v="2"/>
  </r>
  <r>
    <s v="EMP0335"/>
    <x v="190"/>
    <x v="6"/>
    <n v="570461"/>
    <n v="289"/>
    <n v="62751"/>
    <n v="14"/>
    <n v="100.9"/>
    <n v="0.85714285714285698"/>
    <n v="0"/>
    <n v="0"/>
    <n v="56"/>
    <x v="3"/>
    <x v="2"/>
  </r>
  <r>
    <s v="EMP0336"/>
    <x v="242"/>
    <x v="8"/>
    <n v="649009"/>
    <n v="36134"/>
    <m/>
    <n v="15"/>
    <n v="103.39999999999999"/>
    <n v="0.8"/>
    <n v="0"/>
    <n v="0"/>
    <n v="67"/>
    <x v="2"/>
    <x v="2"/>
  </r>
  <r>
    <s v="EMP0338"/>
    <x v="2"/>
    <x v="6"/>
    <n v="633799"/>
    <n v="29008"/>
    <n v="69718"/>
    <n v="15"/>
    <n v="111.70000000000002"/>
    <n v="0.93333333333333302"/>
    <n v="0"/>
    <n v="0"/>
    <n v="63"/>
    <x v="1"/>
    <x v="2"/>
  </r>
  <r>
    <s v="EMP0368"/>
    <x v="68"/>
    <x v="2"/>
    <n v="364408"/>
    <n v="5529"/>
    <n v="40085"/>
    <n v="15"/>
    <n v="105.3"/>
    <n v="0.86666666666666703"/>
    <n v="8"/>
    <n v="1"/>
    <n v="82"/>
    <x v="0"/>
    <x v="3"/>
  </r>
  <r>
    <s v="EMP0341"/>
    <x v="197"/>
    <x v="6"/>
    <n v="520495"/>
    <n v="6789"/>
    <n v="57254"/>
    <n v="15"/>
    <n v="76.300000000000011"/>
    <n v="0.53333333333333299"/>
    <n v="0"/>
    <n v="0"/>
    <n v="84"/>
    <x v="0"/>
    <x v="3"/>
  </r>
  <r>
    <s v="EMP0343"/>
    <x v="104"/>
    <x v="2"/>
    <n v="578448"/>
    <n v="6648"/>
    <n v="63629"/>
    <n v="15"/>
    <n v="103.4"/>
    <n v="0.8"/>
    <n v="6"/>
    <n v="1"/>
    <n v="57"/>
    <x v="4"/>
    <x v="2"/>
  </r>
  <r>
    <s v="EMP0344"/>
    <x v="95"/>
    <x v="3"/>
    <n v="253521"/>
    <n v="61438"/>
    <n v="27887"/>
    <n v="15"/>
    <n v="96.5"/>
    <n v="0.73333333333333295"/>
    <n v="0"/>
    <n v="0"/>
    <n v="88"/>
    <x v="1"/>
    <x v="3"/>
  </r>
  <r>
    <s v="EMP0345"/>
    <x v="205"/>
    <x v="9"/>
    <n v="648431"/>
    <n v="87454"/>
    <n v="71327"/>
    <n v="14"/>
    <n v="100.5"/>
    <n v="0.78571428571428603"/>
    <n v="0"/>
    <n v="0"/>
    <n v="90"/>
    <x v="1"/>
    <x v="0"/>
  </r>
  <r>
    <s v="EMP0346"/>
    <x v="243"/>
    <x v="4"/>
    <n v="353894"/>
    <n v="58440"/>
    <n v="38928"/>
    <n v="15"/>
    <n v="89.7"/>
    <n v="0.6"/>
    <n v="0"/>
    <n v="0"/>
    <n v="65"/>
    <x v="2"/>
    <x v="2"/>
  </r>
  <r>
    <s v="EMP0348"/>
    <x v="244"/>
    <x v="8"/>
    <n v="417136"/>
    <n v="71756"/>
    <n v="45885"/>
    <n v="15"/>
    <n v="104.80000000000001"/>
    <n v="0.86666666666666703"/>
    <n v="0"/>
    <n v="0"/>
    <n v="84"/>
    <x v="0"/>
    <x v="3"/>
  </r>
  <r>
    <s v="EMP0349"/>
    <x v="245"/>
    <x v="0"/>
    <n v="385203"/>
    <n v="4478"/>
    <n v="42372"/>
    <n v="15"/>
    <n v="96.6"/>
    <n v="0.6"/>
    <n v="0"/>
    <n v="0"/>
    <n v="76"/>
    <x v="4"/>
    <x v="1"/>
  </r>
  <r>
    <s v="EMP0351"/>
    <x v="246"/>
    <x v="0"/>
    <n v="377056"/>
    <n v="27722"/>
    <n v="41476"/>
    <n v="15"/>
    <n v="88.9"/>
    <n v="0.66666666666666696"/>
    <n v="6"/>
    <n v="1"/>
    <n v="67"/>
    <x v="4"/>
    <x v="2"/>
  </r>
  <r>
    <s v="EMP0352"/>
    <x v="32"/>
    <x v="8"/>
    <n v="534773"/>
    <n v="4239"/>
    <n v="58825"/>
    <n v="14"/>
    <n v="111.10000000000001"/>
    <n v="0.78571428571428603"/>
    <n v="0"/>
    <n v="0"/>
    <n v="60"/>
    <x v="2"/>
    <x v="2"/>
  </r>
  <r>
    <s v="EMP0353"/>
    <x v="164"/>
    <x v="7"/>
    <n v="473091"/>
    <n v="71327"/>
    <n v="52040"/>
    <n v="15"/>
    <n v="102.4"/>
    <n v="0.86666666666666703"/>
    <n v="0"/>
    <n v="0"/>
    <n v="91"/>
    <x v="1"/>
    <x v="0"/>
  </r>
  <r>
    <s v="EMP0355"/>
    <x v="215"/>
    <x v="8"/>
    <n v="593952"/>
    <n v="19696"/>
    <n v="65335"/>
    <n v="15"/>
    <n v="117.19999999999999"/>
    <n v="0.73333333333333295"/>
    <n v="0"/>
    <n v="0"/>
    <n v="76"/>
    <x v="4"/>
    <x v="1"/>
  </r>
  <r>
    <s v="EMP0356"/>
    <x v="137"/>
    <x v="3"/>
    <n v="324650"/>
    <n v="7649"/>
    <n v="35712"/>
    <n v="15"/>
    <n v="95.100000000000009"/>
    <n v="0.8"/>
    <n v="0"/>
    <n v="0"/>
    <n v="80"/>
    <x v="3"/>
    <x v="3"/>
  </r>
  <r>
    <s v="EMP0357"/>
    <x v="247"/>
    <x v="3"/>
    <n v="378412"/>
    <n v="37533"/>
    <n v="41625"/>
    <n v="15"/>
    <n v="100.3"/>
    <n v="0.8"/>
    <n v="0"/>
    <n v="0"/>
    <n v="59"/>
    <x v="0"/>
    <x v="2"/>
  </r>
  <r>
    <s v="EMP0358"/>
    <x v="248"/>
    <x v="3"/>
    <n v="419883"/>
    <n v="33056"/>
    <n v="46187"/>
    <n v="15"/>
    <n v="92.100000000000009"/>
    <n v="0.6"/>
    <n v="0"/>
    <n v="0"/>
    <n v="56"/>
    <x v="4"/>
    <x v="2"/>
  </r>
  <r>
    <s v="EMP0360"/>
    <x v="249"/>
    <x v="1"/>
    <n v="842517"/>
    <n v="59195"/>
    <n v="92677"/>
    <n v="15"/>
    <n v="95.3"/>
    <n v="0.8"/>
    <n v="0"/>
    <n v="0"/>
    <n v="91"/>
    <x v="2"/>
    <x v="0"/>
  </r>
  <r>
    <s v="EMP0363"/>
    <x v="212"/>
    <x v="3"/>
    <n v="541899"/>
    <n v="75284"/>
    <n v="59609"/>
    <n v="15"/>
    <n v="105.69999999999999"/>
    <n v="0.66666666666666696"/>
    <n v="0"/>
    <n v="0"/>
    <n v="84"/>
    <x v="0"/>
    <x v="3"/>
  </r>
  <r>
    <s v="EMP0364"/>
    <x v="250"/>
    <x v="3"/>
    <n v="436233"/>
    <n v="69138"/>
    <n v="47986"/>
    <n v="15"/>
    <n v="94.9"/>
    <n v="0.73333333333333295"/>
    <n v="0"/>
    <n v="0"/>
    <n v="69"/>
    <x v="1"/>
    <x v="2"/>
  </r>
  <r>
    <s v="EMP0366"/>
    <x v="130"/>
    <x v="9"/>
    <n v="499461"/>
    <n v="87183"/>
    <n v="54941"/>
    <n v="15"/>
    <n v="112.10000000000001"/>
    <n v="0.86666666666666703"/>
    <n v="0"/>
    <n v="0"/>
    <n v="82"/>
    <x v="1"/>
    <x v="3"/>
  </r>
  <r>
    <s v="EMP0376"/>
    <x v="149"/>
    <x v="5"/>
    <n v="670580"/>
    <n v="79527"/>
    <n v="73764"/>
    <n v="15"/>
    <n v="105.4"/>
    <n v="0.8"/>
    <n v="8"/>
    <n v="1"/>
    <n v="98"/>
    <x v="1"/>
    <x v="0"/>
  </r>
  <r>
    <s v="EMP0367"/>
    <x v="251"/>
    <x v="5"/>
    <n v="781421"/>
    <n v="44286"/>
    <n v="85956"/>
    <n v="15"/>
    <n v="96.299999999999983"/>
    <n v="0.8"/>
    <n v="0"/>
    <n v="0"/>
    <n v="76"/>
    <x v="4"/>
    <x v="1"/>
  </r>
  <r>
    <s v="EMP0370"/>
    <x v="48"/>
    <x v="4"/>
    <n v="801889"/>
    <n v="78660"/>
    <n v="88208"/>
    <n v="15"/>
    <n v="116.4"/>
    <n v="0.86666666666666703"/>
    <n v="0"/>
    <n v="0"/>
    <n v="62"/>
    <x v="3"/>
    <x v="2"/>
  </r>
  <r>
    <s v="EMP0371"/>
    <x v="252"/>
    <x v="8"/>
    <n v="247181"/>
    <n v="26462"/>
    <n v="27190"/>
    <n v="15"/>
    <n v="103.40000000000002"/>
    <n v="0.53333333333333299"/>
    <n v="0"/>
    <n v="0"/>
    <n v="74"/>
    <x v="1"/>
    <x v="1"/>
  </r>
  <r>
    <s v="EMP0372"/>
    <x v="124"/>
    <x v="2"/>
    <n v="538476"/>
    <n v="60528"/>
    <n v="59232"/>
    <n v="15"/>
    <n v="82.6"/>
    <n v="0.66666666666666696"/>
    <n v="0"/>
    <n v="0"/>
    <n v="97"/>
    <x v="4"/>
    <x v="0"/>
  </r>
  <r>
    <s v="EMP0375"/>
    <x v="201"/>
    <x v="6"/>
    <n v="540672"/>
    <n v="58920"/>
    <n v="59474"/>
    <n v="15"/>
    <n v="81.599999999999994"/>
    <n v="0.66666666666666696"/>
    <n v="0"/>
    <n v="0"/>
    <n v="100"/>
    <x v="1"/>
    <x v="0"/>
  </r>
  <r>
    <s v="EMP0377"/>
    <x v="253"/>
    <x v="6"/>
    <n v="372407"/>
    <n v="83668"/>
    <n v="40965"/>
    <n v="15"/>
    <n v="110.5"/>
    <n v="0.8"/>
    <n v="0"/>
    <n v="0"/>
    <n v="88"/>
    <x v="4"/>
    <x v="3"/>
  </r>
  <r>
    <s v="EMP0378"/>
    <x v="146"/>
    <x v="0"/>
    <n v="429082"/>
    <n v="2317"/>
    <n v="47199"/>
    <n v="15"/>
    <n v="104.4"/>
    <n v="0.8"/>
    <n v="0"/>
    <n v="0"/>
    <n v="66"/>
    <x v="4"/>
    <x v="2"/>
  </r>
  <r>
    <s v="EMP0380"/>
    <x v="254"/>
    <x v="0"/>
    <n v="415357"/>
    <n v="44172"/>
    <n v="45689"/>
    <n v="15"/>
    <n v="121.60000000000001"/>
    <n v="0.86666666666666703"/>
    <n v="8"/>
    <n v="1"/>
    <n v="61"/>
    <x v="3"/>
    <x v="2"/>
  </r>
  <r>
    <s v="EMP0382"/>
    <x v="175"/>
    <x v="6"/>
    <n v="275543"/>
    <n v="73702"/>
    <n v="30310"/>
    <n v="15"/>
    <n v="112.79999999999998"/>
    <n v="0.86666666666666703"/>
    <n v="0"/>
    <n v="0"/>
    <n v="95"/>
    <x v="0"/>
    <x v="0"/>
  </r>
  <r>
    <s v="EMP0383"/>
    <x v="255"/>
    <x v="4"/>
    <n v="229341"/>
    <n v="44948"/>
    <n v="25228"/>
    <n v="15"/>
    <n v="87.2"/>
    <n v="0.73333333333333295"/>
    <n v="4"/>
    <n v="1"/>
    <n v="68"/>
    <x v="0"/>
    <x v="2"/>
  </r>
  <r>
    <s v="EMP0384"/>
    <x v="256"/>
    <x v="0"/>
    <n v="371706"/>
    <n v="48094"/>
    <n v="40888"/>
    <n v="15"/>
    <n v="103.7"/>
    <n v="0.8"/>
    <n v="0"/>
    <n v="0"/>
    <n v="55"/>
    <x v="0"/>
    <x v="2"/>
  </r>
  <r>
    <s v="EMP0385"/>
    <x v="179"/>
    <x v="4"/>
    <n v="687240"/>
    <n v="43592"/>
    <n v="75596"/>
    <n v="15"/>
    <n v="104.89999999999999"/>
    <n v="0.66666666666666696"/>
    <n v="2"/>
    <n v="1"/>
    <n v="82"/>
    <x v="4"/>
    <x v="3"/>
  </r>
  <r>
    <s v="EMP0386"/>
    <x v="230"/>
    <x v="2"/>
    <n v="746089"/>
    <n v="75897"/>
    <n v="82070"/>
    <n v="15"/>
    <n v="96.499999999999986"/>
    <n v="0.73333333333333295"/>
    <n v="0"/>
    <n v="0"/>
    <n v="64"/>
    <x v="4"/>
    <x v="2"/>
  </r>
  <r>
    <s v="EMP0387"/>
    <x v="257"/>
    <x v="1"/>
    <n v="373401"/>
    <n v="22395"/>
    <n v="41074"/>
    <n v="15"/>
    <n v="105.5"/>
    <n v="0.6"/>
    <n v="7"/>
    <n v="1"/>
    <n v="85"/>
    <x v="0"/>
    <x v="3"/>
  </r>
  <r>
    <s v="EMP0388"/>
    <x v="258"/>
    <x v="9"/>
    <n v="246114"/>
    <n v="29098"/>
    <n v="27073"/>
    <n v="15"/>
    <n v="108.7"/>
    <n v="0.8"/>
    <n v="0"/>
    <n v="0"/>
    <n v="83"/>
    <x v="4"/>
    <x v="3"/>
  </r>
  <r>
    <s v="EMP0389"/>
    <x v="190"/>
    <x v="8"/>
    <n v="746007"/>
    <n v="57643"/>
    <n v="82061"/>
    <n v="15"/>
    <n v="88.3"/>
    <n v="0.6"/>
    <n v="0"/>
    <n v="0"/>
    <n v="55"/>
    <x v="0"/>
    <x v="2"/>
  </r>
  <r>
    <s v="EMP0390"/>
    <x v="48"/>
    <x v="9"/>
    <n v="433311"/>
    <n v="58069"/>
    <n v="47664"/>
    <n v="15"/>
    <n v="108.8"/>
    <n v="0.8"/>
    <n v="0"/>
    <n v="0"/>
    <n v="81"/>
    <x v="0"/>
    <x v="3"/>
  </r>
  <r>
    <s v="EMP0391"/>
    <x v="259"/>
    <x v="5"/>
    <n v="607744"/>
    <n v="13388"/>
    <n v="66852"/>
    <n v="15"/>
    <n v="117.39999999999999"/>
    <n v="0.93333333333333302"/>
    <n v="0"/>
    <n v="0"/>
    <n v="75"/>
    <x v="0"/>
    <x v="1"/>
  </r>
  <r>
    <s v="EMP0392"/>
    <x v="260"/>
    <x v="5"/>
    <n v="785862"/>
    <n v="15977"/>
    <n v="86445"/>
    <n v="15"/>
    <n v="100.89999999999999"/>
    <n v="0.73333333333333295"/>
    <n v="2"/>
    <n v="1"/>
    <n v="92"/>
    <x v="2"/>
    <x v="0"/>
  </r>
  <r>
    <s v="EMP0393"/>
    <x v="46"/>
    <x v="3"/>
    <n v="242874"/>
    <n v="53585"/>
    <n v="26716"/>
    <n v="15"/>
    <n v="110.50000000000001"/>
    <n v="0.8"/>
    <n v="0"/>
    <n v="0"/>
    <n v="77"/>
    <x v="3"/>
    <x v="1"/>
  </r>
  <r>
    <s v="EMP0394"/>
    <x v="223"/>
    <x v="4"/>
    <n v="367324"/>
    <n v="49043"/>
    <n v="40406"/>
    <n v="15"/>
    <n v="91.5"/>
    <n v="0.6"/>
    <n v="3"/>
    <n v="1"/>
    <n v="87"/>
    <x v="1"/>
    <x v="3"/>
  </r>
  <r>
    <s v="EMP0395"/>
    <x v="261"/>
    <x v="2"/>
    <n v="309140"/>
    <n v="51889"/>
    <n v="34005"/>
    <n v="15"/>
    <n v="106.4"/>
    <n v="0.8"/>
    <n v="7"/>
    <n v="1"/>
    <n v="86"/>
    <x v="2"/>
    <x v="3"/>
  </r>
  <r>
    <s v="EMP0396"/>
    <x v="225"/>
    <x v="1"/>
    <n v="701787"/>
    <n v="30675"/>
    <n v="77197"/>
    <n v="15"/>
    <n v="105.49999999999999"/>
    <n v="0.73333333333333295"/>
    <n v="14"/>
    <n v="3"/>
    <n v="83"/>
    <x v="4"/>
    <x v="3"/>
  </r>
  <r>
    <s v="EMP0397"/>
    <x v="262"/>
    <x v="9"/>
    <n v="517274"/>
    <n v="8242"/>
    <n v="56900"/>
    <n v="15"/>
    <n v="88.6"/>
    <n v="0.6"/>
    <n v="0"/>
    <n v="0"/>
    <n v="100"/>
    <x v="2"/>
    <x v="0"/>
  </r>
  <r>
    <s v="EMP0398"/>
    <x v="116"/>
    <x v="6"/>
    <n v="277599"/>
    <n v="41954"/>
    <n v="30536"/>
    <n v="14"/>
    <n v="113.60000000000002"/>
    <n v="0.64285714285714302"/>
    <n v="0"/>
    <n v="0"/>
    <n v="83"/>
    <x v="1"/>
    <x v="3"/>
  </r>
  <r>
    <s v="EMP0399"/>
    <x v="219"/>
    <x v="5"/>
    <n v="789192"/>
    <n v="33886"/>
    <n v="86811"/>
    <n v="15"/>
    <n v="108.89999999999999"/>
    <n v="0.8"/>
    <n v="0"/>
    <n v="0"/>
    <n v="72"/>
    <x v="4"/>
    <x v="1"/>
  </r>
  <r>
    <s v="EMP0400"/>
    <x v="263"/>
    <x v="7"/>
    <n v="638210"/>
    <n v="3087"/>
    <n v="70203"/>
    <n v="15"/>
    <n v="96.699999999999989"/>
    <n v="0.66666666666666696"/>
    <n v="0"/>
    <n v="0"/>
    <n v="74"/>
    <x v="0"/>
    <x v="1"/>
  </r>
  <r>
    <s v="EMP0401"/>
    <x v="264"/>
    <x v="8"/>
    <n v="590436"/>
    <n v="31682"/>
    <n v="64948"/>
    <n v="15"/>
    <n v="88.899999999999991"/>
    <n v="0.6"/>
    <n v="0"/>
    <n v="0"/>
    <n v="60"/>
    <x v="4"/>
    <x v="2"/>
  </r>
  <r>
    <s v="EMP0402"/>
    <x v="108"/>
    <x v="7"/>
    <n v="453095"/>
    <n v="32751"/>
    <n v="49840"/>
    <n v="15"/>
    <n v="86"/>
    <n v="0.66666666666666696"/>
    <n v="14"/>
    <n v="1"/>
    <n v="91"/>
    <x v="0"/>
    <x v="0"/>
  </r>
  <r>
    <s v="EMP0403"/>
    <x v="265"/>
    <x v="7"/>
    <n v="453536"/>
    <n v="82818"/>
    <n v="49889"/>
    <n v="15"/>
    <n v="96.499999999999986"/>
    <n v="0.66666666666666696"/>
    <n v="0"/>
    <n v="0"/>
    <n v="58"/>
    <x v="1"/>
    <x v="2"/>
  </r>
  <r>
    <s v="EMP0404"/>
    <x v="123"/>
    <x v="7"/>
    <n v="740750"/>
    <n v="88347"/>
    <n v="81482"/>
    <n v="15"/>
    <n v="86"/>
    <n v="0.6"/>
    <n v="0"/>
    <n v="0"/>
    <n v="77"/>
    <x v="0"/>
    <x v="1"/>
  </r>
  <r>
    <s v="EMP0405"/>
    <x v="146"/>
    <x v="2"/>
    <n v="392812"/>
    <n v="16806"/>
    <n v="43209"/>
    <n v="15"/>
    <n v="110.60000000000001"/>
    <n v="0.73333333333333295"/>
    <n v="8"/>
    <n v="2"/>
    <n v="82"/>
    <x v="0"/>
    <x v="3"/>
  </r>
  <r>
    <s v="EMP0406"/>
    <x v="266"/>
    <x v="4"/>
    <n v="234439"/>
    <n v="84992"/>
    <n v="25788"/>
    <n v="15"/>
    <n v="114.1"/>
    <n v="0.86666666666666703"/>
    <n v="0"/>
    <n v="0"/>
    <n v="94"/>
    <x v="1"/>
    <x v="0"/>
  </r>
  <r>
    <s v="EMP0407"/>
    <x v="267"/>
    <x v="1"/>
    <n v="660983"/>
    <n v="32825"/>
    <n v="72708"/>
    <n v="15"/>
    <n v="81.500000000000014"/>
    <n v="0.66666666666666696"/>
    <n v="10"/>
    <n v="1"/>
    <n v="68"/>
    <x v="4"/>
    <x v="2"/>
  </r>
  <r>
    <s v="EMP0408"/>
    <x v="101"/>
    <x v="6"/>
    <n v="845587"/>
    <n v="66937"/>
    <n v="93015"/>
    <n v="15"/>
    <n v="77.699999999999989"/>
    <n v="0.6"/>
    <n v="0"/>
    <n v="0"/>
    <n v="60"/>
    <x v="1"/>
    <x v="2"/>
  </r>
  <r>
    <s v="EMP0409"/>
    <x v="268"/>
    <x v="3"/>
    <n v="694864"/>
    <n v="8538"/>
    <n v="76435"/>
    <n v="15"/>
    <n v="105.69999999999999"/>
    <n v="0.86666666666666703"/>
    <n v="0"/>
    <n v="0"/>
    <n v="98"/>
    <x v="0"/>
    <x v="0"/>
  </r>
  <r>
    <s v="EMP0410"/>
    <x v="222"/>
    <x v="7"/>
    <n v="502231"/>
    <n v="48271"/>
    <n v="55245"/>
    <n v="15"/>
    <n v="92.8"/>
    <n v="0.6"/>
    <n v="4"/>
    <n v="1"/>
    <n v="71"/>
    <x v="2"/>
    <x v="1"/>
  </r>
  <r>
    <s v="EMP0411"/>
    <x v="182"/>
    <x v="10"/>
    <n v="601291"/>
    <n v="18115"/>
    <n v="66142"/>
    <n v="15"/>
    <n v="103.39999999999999"/>
    <n v="0.66666666666666696"/>
    <n v="0"/>
    <n v="0"/>
    <n v="94"/>
    <x v="0"/>
    <x v="0"/>
  </r>
  <r>
    <s v="EMP0412"/>
    <x v="269"/>
    <x v="4"/>
    <n v="696996"/>
    <n v="38784"/>
    <n v="76670"/>
    <n v="15"/>
    <n v="96.3"/>
    <n v="0.8"/>
    <n v="0"/>
    <n v="0"/>
    <n v="73"/>
    <x v="4"/>
    <x v="1"/>
  </r>
  <r>
    <s v="EMP0413"/>
    <x v="134"/>
    <x v="7"/>
    <n v="461337"/>
    <n v="31195"/>
    <n v="50747"/>
    <n v="15"/>
    <n v="111.80000000000001"/>
    <n v="0.86666666666666703"/>
    <n v="0"/>
    <n v="0"/>
    <n v="56"/>
    <x v="1"/>
    <x v="2"/>
  </r>
  <r>
    <s v="EMP0414"/>
    <x v="193"/>
    <x v="6"/>
    <n v="265866"/>
    <n v="4192"/>
    <n v="29245"/>
    <n v="15"/>
    <n v="111.5"/>
    <n v="0.73333333333333295"/>
    <n v="7"/>
    <n v="2"/>
    <n v="74"/>
    <x v="3"/>
    <x v="1"/>
  </r>
  <r>
    <s v="EMP0415"/>
    <x v="270"/>
    <x v="8"/>
    <n v="479270"/>
    <n v="64140"/>
    <n v="52720"/>
    <n v="15"/>
    <n v="102.2"/>
    <n v="0.8"/>
    <n v="0"/>
    <n v="0"/>
    <n v="84"/>
    <x v="0"/>
    <x v="3"/>
  </r>
  <r>
    <s v="EMP0416"/>
    <x v="211"/>
    <x v="6"/>
    <n v="508289"/>
    <n v="67832"/>
    <n v="55912"/>
    <n v="15"/>
    <n v="119.19999999999999"/>
    <n v="0.8"/>
    <n v="0"/>
    <n v="0"/>
    <n v="66"/>
    <x v="0"/>
    <x v="2"/>
  </r>
  <r>
    <s v="EMP0417"/>
    <x v="174"/>
    <x v="1"/>
    <n v="335801"/>
    <n v="44601"/>
    <n v="36938"/>
    <n v="15"/>
    <n v="65.599999999999994"/>
    <n v="0.53333333333333299"/>
    <n v="14"/>
    <n v="1"/>
    <n v="95"/>
    <x v="4"/>
    <x v="0"/>
  </r>
  <r>
    <s v="EMP0418"/>
    <x v="190"/>
    <x v="9"/>
    <n v="301788"/>
    <n v="41375"/>
    <n v="33197"/>
    <n v="15"/>
    <n v="108.69999999999999"/>
    <n v="0.86666666666666703"/>
    <n v="0"/>
    <n v="0"/>
    <n v="70"/>
    <x v="3"/>
    <x v="1"/>
  </r>
  <r>
    <s v="EMP0419"/>
    <x v="212"/>
    <x v="5"/>
    <n v="327199"/>
    <n v="72393"/>
    <n v="35992"/>
    <n v="15"/>
    <n v="104.2"/>
    <n v="0.73333333333333295"/>
    <n v="0"/>
    <n v="0"/>
    <n v="98"/>
    <x v="0"/>
    <x v="0"/>
  </r>
  <r>
    <s v="EMP0420"/>
    <x v="21"/>
    <x v="8"/>
    <n v="638843"/>
    <n v="43253"/>
    <n v="70273"/>
    <n v="15"/>
    <n v="112.50000000000001"/>
    <n v="0.73333333333333295"/>
    <n v="14"/>
    <n v="1"/>
    <n v="60"/>
    <x v="0"/>
    <x v="2"/>
  </r>
  <r>
    <s v="EMP0421"/>
    <x v="271"/>
    <x v="7"/>
    <n v="309014"/>
    <n v="46109"/>
    <n v="33992"/>
    <n v="15"/>
    <n v="107.1"/>
    <n v="0.6"/>
    <n v="0"/>
    <n v="0"/>
    <n v="60"/>
    <x v="2"/>
    <x v="2"/>
  </r>
  <r>
    <s v="EMP0422"/>
    <x v="175"/>
    <x v="7"/>
    <n v="298911"/>
    <n v="974"/>
    <n v="32880"/>
    <n v="15"/>
    <n v="103.20000000000002"/>
    <n v="0.8"/>
    <n v="0"/>
    <n v="0"/>
    <n v="66"/>
    <x v="1"/>
    <x v="2"/>
  </r>
  <r>
    <s v="EMP0423"/>
    <x v="93"/>
    <x v="7"/>
    <n v="684985"/>
    <n v="17485"/>
    <n v="75348"/>
    <n v="14"/>
    <n v="95.4"/>
    <n v="0.85714285714285698"/>
    <n v="8"/>
    <n v="1"/>
    <n v="88"/>
    <x v="1"/>
    <x v="3"/>
  </r>
  <r>
    <s v="EMP0424"/>
    <x v="181"/>
    <x v="0"/>
    <n v="630177"/>
    <n v="70137"/>
    <n v="69319"/>
    <n v="15"/>
    <n v="100.19999999999999"/>
    <n v="0.73333333333333295"/>
    <n v="0"/>
    <n v="0"/>
    <n v="87"/>
    <x v="3"/>
    <x v="3"/>
  </r>
  <r>
    <s v="EMP0425"/>
    <x v="61"/>
    <x v="3"/>
    <n v="330651"/>
    <n v="79655"/>
    <n v="36372"/>
    <n v="15"/>
    <n v="115"/>
    <n v="0.8"/>
    <n v="5"/>
    <n v="1"/>
    <n v="91"/>
    <x v="0"/>
    <x v="0"/>
  </r>
  <r>
    <s v="EMP0426"/>
    <x v="272"/>
    <x v="2"/>
    <n v="330973"/>
    <n v="31523"/>
    <n v="36407"/>
    <n v="15"/>
    <n v="107.10000000000001"/>
    <n v="0.8"/>
    <n v="0"/>
    <n v="0"/>
    <n v="97"/>
    <x v="0"/>
    <x v="0"/>
  </r>
  <r>
    <s v="EMP0427"/>
    <x v="273"/>
    <x v="6"/>
    <n v="387338"/>
    <n v="74653"/>
    <n v="42607"/>
    <n v="15"/>
    <n v="101.9"/>
    <n v="0.6"/>
    <n v="0"/>
    <n v="0"/>
    <n v="81"/>
    <x v="1"/>
    <x v="3"/>
  </r>
  <r>
    <s v="EMP0428"/>
    <x v="154"/>
    <x v="3"/>
    <n v="414081"/>
    <n v="22167"/>
    <n v="45549"/>
    <n v="15"/>
    <n v="88.899999999999991"/>
    <n v="0.66666666666666696"/>
    <n v="0"/>
    <n v="0"/>
    <n v="91"/>
    <x v="4"/>
    <x v="0"/>
  </r>
  <r>
    <s v="EMP0429"/>
    <x v="187"/>
    <x v="9"/>
    <n v="818269"/>
    <n v="29363"/>
    <n v="90010"/>
    <n v="15"/>
    <n v="98.799999999999983"/>
    <n v="0.8"/>
    <n v="0"/>
    <n v="0"/>
    <n v="71"/>
    <x v="2"/>
    <x v="1"/>
  </r>
  <r>
    <s v="EMP0430"/>
    <x v="147"/>
    <x v="4"/>
    <n v="362535"/>
    <n v="49479"/>
    <n v="39879"/>
    <n v="15"/>
    <n v="106.20000000000002"/>
    <n v="0.46666666666666701"/>
    <n v="0"/>
    <n v="0"/>
    <n v="86"/>
    <x v="2"/>
    <x v="3"/>
  </r>
  <r>
    <s v="EMP0431"/>
    <x v="221"/>
    <x v="1"/>
    <n v="539238"/>
    <n v="67509"/>
    <n v="59316"/>
    <n v="15"/>
    <n v="96.500000000000014"/>
    <n v="0.73333333333333295"/>
    <n v="0"/>
    <n v="0"/>
    <n v="86"/>
    <x v="4"/>
    <x v="3"/>
  </r>
  <r>
    <s v="EMP0432"/>
    <x v="99"/>
    <x v="9"/>
    <n v="430550"/>
    <n v="61608"/>
    <n v="47360"/>
    <n v="15"/>
    <n v="107.79999999999998"/>
    <n v="0.73333333333333295"/>
    <n v="0"/>
    <n v="0"/>
    <n v="65"/>
    <x v="1"/>
    <x v="2"/>
  </r>
  <r>
    <s v="EMP0433"/>
    <x v="264"/>
    <x v="6"/>
    <n v="826746"/>
    <n v="69724"/>
    <n v="90942"/>
    <n v="15"/>
    <n v="107.8"/>
    <n v="0.86666666666666703"/>
    <n v="0"/>
    <n v="0"/>
    <n v="72"/>
    <x v="4"/>
    <x v="1"/>
  </r>
  <r>
    <s v="EMP0434"/>
    <x v="274"/>
    <x v="9"/>
    <n v="823068"/>
    <n v="54729"/>
    <n v="90537"/>
    <n v="15"/>
    <n v="107.89999999999999"/>
    <n v="0.73333333333333295"/>
    <n v="5"/>
    <n v="2"/>
    <n v="87"/>
    <x v="0"/>
    <x v="3"/>
  </r>
  <r>
    <s v="EMP0435"/>
    <x v="27"/>
    <x v="0"/>
    <n v="617706"/>
    <n v="50611"/>
    <n v="67948"/>
    <n v="15"/>
    <n v="101.6"/>
    <n v="0.73333333333333295"/>
    <n v="26"/>
    <n v="3"/>
    <n v="90"/>
    <x v="0"/>
    <x v="0"/>
  </r>
  <r>
    <s v="EMP0436"/>
    <x v="18"/>
    <x v="1"/>
    <n v="518177"/>
    <n v="79324"/>
    <n v="56999"/>
    <n v="15"/>
    <n v="104.1"/>
    <n v="0.8"/>
    <n v="0"/>
    <n v="0"/>
    <n v="67"/>
    <x v="1"/>
    <x v="2"/>
  </r>
  <r>
    <s v="EMP0437"/>
    <x v="99"/>
    <x v="4"/>
    <n v="836334"/>
    <n v="32055"/>
    <n v="91997"/>
    <n v="15"/>
    <n v="102.19999999999997"/>
    <n v="0.8"/>
    <n v="0"/>
    <n v="0"/>
    <n v="74"/>
    <x v="1"/>
    <x v="1"/>
  </r>
  <r>
    <s v="EMP0438"/>
    <x v="129"/>
    <x v="2"/>
    <n v="686456"/>
    <n v="59474"/>
    <n v="75510"/>
    <n v="15"/>
    <n v="95.700000000000017"/>
    <n v="0.8"/>
    <n v="0"/>
    <n v="0"/>
    <n v="75"/>
    <x v="2"/>
    <x v="1"/>
  </r>
  <r>
    <s v="EMP0439"/>
    <x v="117"/>
    <x v="3"/>
    <n v="590462"/>
    <n v="49958"/>
    <n v="64951"/>
    <n v="15"/>
    <n v="93.1"/>
    <n v="0.8"/>
    <n v="0"/>
    <n v="0"/>
    <n v="87"/>
    <x v="4"/>
    <x v="3"/>
  </r>
  <r>
    <s v="EMP0440"/>
    <x v="275"/>
    <x v="6"/>
    <n v="592683"/>
    <n v="71824"/>
    <n v="65195"/>
    <n v="15"/>
    <n v="100.9"/>
    <n v="0.8"/>
    <n v="11"/>
    <n v="1"/>
    <n v="84"/>
    <x v="4"/>
    <x v="3"/>
  </r>
  <r>
    <s v="EMP0441"/>
    <x v="127"/>
    <x v="4"/>
    <n v="444955"/>
    <n v="1837"/>
    <n v="48945"/>
    <n v="15"/>
    <n v="83.399999999999991"/>
    <n v="0.6"/>
    <n v="6"/>
    <n v="1"/>
    <n v="69"/>
    <x v="4"/>
    <x v="2"/>
  </r>
  <r>
    <s v="EMP0442"/>
    <x v="55"/>
    <x v="0"/>
    <n v="446522"/>
    <n v="70461"/>
    <n v="49117"/>
    <n v="15"/>
    <n v="110.89999999999999"/>
    <n v="0.93333333333333302"/>
    <n v="2"/>
    <n v="1"/>
    <n v="75"/>
    <x v="0"/>
    <x v="1"/>
  </r>
  <r>
    <s v="EMP0443"/>
    <x v="98"/>
    <x v="10"/>
    <n v="732431"/>
    <n v="23524"/>
    <n v="80567"/>
    <n v="14"/>
    <n v="113"/>
    <n v="0.85714285714285698"/>
    <n v="7"/>
    <n v="1"/>
    <n v="90"/>
    <x v="1"/>
    <x v="0"/>
  </r>
  <r>
    <s v="EMP0444"/>
    <x v="276"/>
    <x v="3"/>
    <n v="714903"/>
    <n v="78158"/>
    <n v="78639"/>
    <n v="15"/>
    <n v="90.4"/>
    <n v="0.66666666666666696"/>
    <n v="8"/>
    <n v="1"/>
    <n v="71"/>
    <x v="1"/>
    <x v="1"/>
  </r>
  <r>
    <s v="EMP0445"/>
    <x v="124"/>
    <x v="0"/>
    <n v="686985"/>
    <n v="32986"/>
    <n v="75568"/>
    <n v="15"/>
    <n v="104.80000000000001"/>
    <n v="0.8"/>
    <n v="3"/>
    <n v="1"/>
    <n v="95"/>
    <x v="2"/>
    <x v="0"/>
  </r>
  <r>
    <s v="EMP0446"/>
    <x v="275"/>
    <x v="9"/>
    <n v="643031"/>
    <n v="43887"/>
    <n v="70733"/>
    <n v="15"/>
    <n v="105.99999999999999"/>
    <n v="0.86666666666666703"/>
    <n v="0"/>
    <n v="0"/>
    <n v="95"/>
    <x v="4"/>
    <x v="0"/>
  </r>
  <r>
    <s v="EMP0447"/>
    <x v="277"/>
    <x v="4"/>
    <n v="842576"/>
    <n v="88090"/>
    <n v="92683"/>
    <n v="15"/>
    <n v="99.5"/>
    <n v="0.8"/>
    <n v="6"/>
    <n v="1"/>
    <n v="86"/>
    <x v="4"/>
    <x v="3"/>
  </r>
  <r>
    <s v="EMP0448"/>
    <x v="278"/>
    <x v="6"/>
    <n v="813141"/>
    <n v="67397"/>
    <n v="89446"/>
    <n v="15"/>
    <n v="117.49999999999999"/>
    <n v="0.93333333333333302"/>
    <n v="9"/>
    <n v="1"/>
    <n v="71"/>
    <x v="3"/>
    <x v="1"/>
  </r>
  <r>
    <s v="EMP0449"/>
    <x v="5"/>
    <x v="1"/>
    <n v="281812"/>
    <n v="28599"/>
    <n v="30999"/>
    <n v="15"/>
    <n v="108.5"/>
    <n v="0.73333333333333295"/>
    <n v="14"/>
    <n v="2"/>
    <n v="72"/>
    <x v="0"/>
    <x v="1"/>
  </r>
  <r>
    <s v="EMP0450"/>
    <x v="163"/>
    <x v="2"/>
    <n v="617164"/>
    <n v="30071"/>
    <n v="67888"/>
    <n v="15"/>
    <n v="99.5"/>
    <n v="0.66666666666666696"/>
    <n v="0"/>
    <n v="0"/>
    <n v="59"/>
    <x v="4"/>
    <x v="2"/>
  </r>
  <r>
    <s v="EMP0451"/>
    <x v="52"/>
    <x v="2"/>
    <n v="291414"/>
    <n v="55681"/>
    <n v="32056"/>
    <n v="15"/>
    <n v="115.2"/>
    <n v="0.73333333333333295"/>
    <n v="9"/>
    <n v="1"/>
    <n v="79"/>
    <x v="2"/>
    <x v="1"/>
  </r>
  <r>
    <s v="EMP0452"/>
    <x v="103"/>
    <x v="2"/>
    <n v="775841"/>
    <n v="59166"/>
    <n v="85343"/>
    <n v="15"/>
    <n v="99.999999999999986"/>
    <n v="0.73333333333333295"/>
    <n v="11"/>
    <n v="1"/>
    <n v="69"/>
    <x v="4"/>
    <x v="2"/>
  </r>
  <r>
    <s v="EMP0453"/>
    <x v="64"/>
    <x v="3"/>
    <n v="361795"/>
    <n v="65411"/>
    <n v="39797"/>
    <n v="15"/>
    <n v="90.600000000000009"/>
    <n v="0.73333333333333295"/>
    <n v="0"/>
    <n v="0"/>
    <n v="84"/>
    <x v="1"/>
    <x v="3"/>
  </r>
  <r>
    <s v="EMP0454"/>
    <x v="279"/>
    <x v="5"/>
    <n v="448461"/>
    <n v="40387"/>
    <n v="49331"/>
    <n v="15"/>
    <n v="103.3"/>
    <n v="0.73333333333333295"/>
    <n v="0"/>
    <n v="0"/>
    <n v="95"/>
    <x v="0"/>
    <x v="0"/>
  </r>
  <r>
    <s v="EMP0455"/>
    <x v="39"/>
    <x v="6"/>
    <n v="569304"/>
    <n v="63787"/>
    <n v="62623"/>
    <n v="15"/>
    <n v="77"/>
    <n v="0.6"/>
    <n v="6"/>
    <n v="1"/>
    <n v="65"/>
    <x v="0"/>
    <x v="2"/>
  </r>
  <r>
    <s v="EMP0456"/>
    <x v="151"/>
    <x v="2"/>
    <n v="408593"/>
    <n v="631"/>
    <n v="44945"/>
    <n v="15"/>
    <n v="105.1"/>
    <n v="0.86666666666666703"/>
    <n v="8"/>
    <n v="1"/>
    <n v="92"/>
    <x v="3"/>
    <x v="0"/>
  </r>
  <r>
    <s v="EMP0457"/>
    <x v="280"/>
    <x v="5"/>
    <n v="652270"/>
    <n v="7630"/>
    <n v="71750"/>
    <n v="14"/>
    <n v="98.6"/>
    <n v="0.5"/>
    <n v="0"/>
    <n v="0"/>
    <n v="68"/>
    <x v="3"/>
    <x v="2"/>
  </r>
  <r>
    <s v="EMP0458"/>
    <x v="20"/>
    <x v="4"/>
    <n v="357214"/>
    <n v="27433"/>
    <n v="39294"/>
    <n v="15"/>
    <n v="102.60000000000001"/>
    <n v="0.86666666666666703"/>
    <n v="13"/>
    <n v="2"/>
    <n v="64"/>
    <x v="2"/>
    <x v="2"/>
  </r>
  <r>
    <s v="EMP0459"/>
    <x v="281"/>
    <x v="1"/>
    <n v="328403"/>
    <n v="62796"/>
    <n v="36124"/>
    <n v="15"/>
    <n v="103.80000000000001"/>
    <n v="0.8"/>
    <n v="0"/>
    <n v="0"/>
    <n v="59"/>
    <x v="4"/>
    <x v="2"/>
  </r>
  <r>
    <s v="EMP0460"/>
    <x v="133"/>
    <x v="8"/>
    <n v="661432"/>
    <n v="14843"/>
    <n v="72758"/>
    <n v="15"/>
    <n v="98.000000000000014"/>
    <n v="0.66666666666666696"/>
    <n v="0"/>
    <n v="0"/>
    <n v="94"/>
    <x v="2"/>
    <x v="0"/>
  </r>
  <r>
    <s v="EMP0461"/>
    <x v="226"/>
    <x v="5"/>
    <n v="381185"/>
    <n v="47243"/>
    <n v="41930"/>
    <n v="15"/>
    <n v="109.39999999999999"/>
    <n v="0.86666666666666703"/>
    <n v="13"/>
    <n v="3"/>
    <n v="74"/>
    <x v="3"/>
    <x v="1"/>
  </r>
  <r>
    <s v="EMP0462"/>
    <x v="282"/>
    <x v="1"/>
    <n v="387477"/>
    <n v="54365"/>
    <n v="42622"/>
    <n v="15"/>
    <n v="68.400000000000006"/>
    <n v="0.4"/>
    <n v="0"/>
    <n v="0"/>
    <n v="85"/>
    <x v="1"/>
    <x v="3"/>
  </r>
  <r>
    <s v="EMP0463"/>
    <x v="37"/>
    <x v="0"/>
    <n v="287352"/>
    <n v="72037"/>
    <n v="31609"/>
    <n v="15"/>
    <n v="111"/>
    <n v="0.86666666666666703"/>
    <n v="14"/>
    <n v="1"/>
    <n v="90"/>
    <x v="3"/>
    <x v="0"/>
  </r>
  <r>
    <s v="EMP0464"/>
    <x v="283"/>
    <x v="6"/>
    <n v="470230"/>
    <n v="78533"/>
    <n v="51725"/>
    <n v="15"/>
    <n v="103.39999999999999"/>
    <n v="0.73333333333333295"/>
    <n v="0"/>
    <n v="0"/>
    <n v="72"/>
    <x v="4"/>
    <x v="1"/>
  </r>
  <r>
    <s v="EMP0465"/>
    <x v="284"/>
    <x v="9"/>
    <n v="258970"/>
    <n v="80180"/>
    <n v="28487"/>
    <n v="15"/>
    <n v="109.8"/>
    <n v="0.86666666666666703"/>
    <n v="9"/>
    <n v="1"/>
    <n v="68"/>
    <x v="2"/>
    <x v="2"/>
  </r>
  <r>
    <s v="EMP0466"/>
    <x v="285"/>
    <x v="3"/>
    <n v="273282"/>
    <n v="53449"/>
    <n v="30061"/>
    <n v="15"/>
    <n v="113.8"/>
    <n v="0.8"/>
    <n v="9"/>
    <n v="1"/>
    <n v="96"/>
    <x v="0"/>
    <x v="0"/>
  </r>
  <r>
    <s v="EMP0467"/>
    <x v="129"/>
    <x v="8"/>
    <n v="761292"/>
    <n v="39687"/>
    <n v="83742"/>
    <n v="15"/>
    <n v="78"/>
    <n v="0.46666666666666701"/>
    <n v="6"/>
    <n v="1"/>
    <n v="77"/>
    <x v="3"/>
    <x v="1"/>
  </r>
  <r>
    <s v="EMP0468"/>
    <x v="286"/>
    <x v="0"/>
    <n v="424021"/>
    <n v="79530"/>
    <n v="46642"/>
    <n v="15"/>
    <n v="104.09999999999998"/>
    <n v="0.86666666666666703"/>
    <n v="0"/>
    <n v="0"/>
    <n v="70"/>
    <x v="4"/>
    <x v="1"/>
  </r>
  <r>
    <s v="EMP0469"/>
    <x v="237"/>
    <x v="1"/>
    <n v="293789"/>
    <n v="36621"/>
    <n v="32317"/>
    <n v="15"/>
    <n v="105.40000000000002"/>
    <n v="0.6"/>
    <n v="2"/>
    <n v="1"/>
    <n v="90"/>
    <x v="4"/>
    <x v="0"/>
  </r>
  <r>
    <s v="EMP0470"/>
    <x v="261"/>
    <x v="7"/>
    <n v="527352"/>
    <n v="25775"/>
    <n v="58009"/>
    <n v="15"/>
    <n v="95.600000000000009"/>
    <n v="0.66666666666666696"/>
    <n v="0"/>
    <n v="0"/>
    <n v="55"/>
    <x v="0"/>
    <x v="2"/>
  </r>
  <r>
    <s v="EMP0471"/>
    <x v="287"/>
    <x v="8"/>
    <n v="224040"/>
    <n v="30816"/>
    <n v="24644"/>
    <n v="15"/>
    <n v="115"/>
    <n v="0.86666666666666703"/>
    <n v="0"/>
    <n v="0"/>
    <n v="93"/>
    <x v="2"/>
    <x v="0"/>
  </r>
  <r>
    <s v="EMP0472"/>
    <x v="171"/>
    <x v="7"/>
    <n v="586681"/>
    <n v="9204"/>
    <n v="64535"/>
    <n v="15"/>
    <n v="92.3"/>
    <n v="0.8"/>
    <n v="0"/>
    <n v="0"/>
    <n v="92"/>
    <x v="3"/>
    <x v="0"/>
  </r>
  <r>
    <s v="EMP0473"/>
    <x v="255"/>
    <x v="9"/>
    <n v="546223"/>
    <n v="62767"/>
    <n v="60085"/>
    <n v="15"/>
    <n v="113.30000000000001"/>
    <n v="0.73333333333333295"/>
    <n v="0"/>
    <n v="0"/>
    <n v="75"/>
    <x v="1"/>
    <x v="1"/>
  </r>
  <r>
    <s v="EMP0474"/>
    <x v="238"/>
    <x v="5"/>
    <n v="601213"/>
    <n v="9608"/>
    <n v="66133"/>
    <n v="15"/>
    <n v="97.300000000000011"/>
    <n v="0.66666666666666696"/>
    <n v="0"/>
    <n v="0"/>
    <n v="76"/>
    <x v="4"/>
    <x v="1"/>
  </r>
  <r>
    <s v="EMP0475"/>
    <x v="204"/>
    <x v="1"/>
    <n v="363864"/>
    <n v="42228"/>
    <n v="40025"/>
    <n v="15"/>
    <n v="112.20000000000002"/>
    <n v="0.93333333333333302"/>
    <n v="0"/>
    <n v="0"/>
    <n v="59"/>
    <x v="4"/>
    <x v="2"/>
  </r>
  <r>
    <s v="EMP0476"/>
    <x v="273"/>
    <x v="4"/>
    <n v="435345"/>
    <n v="12486"/>
    <n v="47888"/>
    <n v="15"/>
    <n v="113.89999999999999"/>
    <n v="0.86666666666666703"/>
    <n v="0"/>
    <n v="0"/>
    <n v="67"/>
    <x v="4"/>
    <x v="2"/>
  </r>
  <r>
    <s v="EMP0477"/>
    <x v="288"/>
    <x v="8"/>
    <n v="848606"/>
    <n v="70908"/>
    <n v="93347"/>
    <n v="15"/>
    <n v="110.8"/>
    <n v="0.86666666666666703"/>
    <n v="0"/>
    <n v="0"/>
    <n v="66"/>
    <x v="2"/>
    <x v="2"/>
  </r>
  <r>
    <s v="EMP0478"/>
    <x v="289"/>
    <x v="3"/>
    <n v="818397"/>
    <n v="80527"/>
    <n v="90024"/>
    <n v="15"/>
    <n v="103.9"/>
    <n v="0.73333333333333295"/>
    <n v="13"/>
    <n v="1"/>
    <n v="86"/>
    <x v="0"/>
    <x v="3"/>
  </r>
  <r>
    <s v="EMP0479"/>
    <x v="89"/>
    <x v="9"/>
    <n v="792315"/>
    <n v="84532"/>
    <n v="87155"/>
    <n v="14"/>
    <n v="102.10000000000001"/>
    <n v="0.92857142857142905"/>
    <n v="0"/>
    <n v="0"/>
    <n v="72"/>
    <x v="4"/>
    <x v="1"/>
  </r>
  <r>
    <s v="EMP0480"/>
    <x v="290"/>
    <x v="8"/>
    <n v="553956"/>
    <n v="14902"/>
    <n v="60935"/>
    <n v="15"/>
    <n v="106.2"/>
    <n v="0.86666666666666703"/>
    <n v="7"/>
    <n v="1"/>
    <n v="81"/>
    <x v="2"/>
    <x v="3"/>
  </r>
  <r>
    <s v="EMP0481"/>
    <x v="291"/>
    <x v="6"/>
    <n v="639774"/>
    <n v="27379"/>
    <n v="70375"/>
    <n v="15"/>
    <n v="113"/>
    <n v="0.73333333333333295"/>
    <n v="0"/>
    <n v="0"/>
    <n v="58"/>
    <x v="2"/>
    <x v="2"/>
  </r>
  <r>
    <s v="EMP0482"/>
    <x v="37"/>
    <x v="5"/>
    <n v="787133"/>
    <n v="72254"/>
    <n v="86585"/>
    <n v="15"/>
    <n v="85.600000000000009"/>
    <n v="0.66666666666666696"/>
    <n v="14"/>
    <n v="1"/>
    <n v="86"/>
    <x v="4"/>
    <x v="3"/>
  </r>
  <r>
    <s v="EMP0483"/>
    <x v="292"/>
    <x v="2"/>
    <n v="336747"/>
    <n v="13101"/>
    <n v="37042"/>
    <n v="15"/>
    <n v="115.19999999999999"/>
    <n v="0.8"/>
    <n v="0"/>
    <n v="0"/>
    <n v="84"/>
    <x v="3"/>
    <x v="3"/>
  </r>
  <r>
    <s v="EMP0484"/>
    <x v="53"/>
    <x v="9"/>
    <n v="773164"/>
    <n v="5467"/>
    <m/>
    <n v="15"/>
    <n v="104.89999999999999"/>
    <n v="0.8"/>
    <n v="0"/>
    <n v="0"/>
    <n v="94"/>
    <x v="3"/>
    <x v="0"/>
  </r>
  <r>
    <s v="EMP0485"/>
    <x v="233"/>
    <x v="1"/>
    <n v="730981"/>
    <n v="87386"/>
    <n v="80408"/>
    <n v="15"/>
    <n v="121.49999999999999"/>
    <n v="0.93333333333333302"/>
    <n v="0"/>
    <n v="0"/>
    <n v="97"/>
    <x v="1"/>
    <x v="0"/>
  </r>
  <r>
    <s v="EMP0486"/>
    <x v="70"/>
    <x v="2"/>
    <n v="790175"/>
    <n v="6897"/>
    <n v="86919"/>
    <n v="15"/>
    <n v="108.6"/>
    <n v="0.8"/>
    <n v="0"/>
    <n v="0"/>
    <n v="65"/>
    <x v="1"/>
    <x v="2"/>
  </r>
  <r>
    <s v="EMP0487"/>
    <x v="87"/>
    <x v="8"/>
    <n v="566067"/>
    <n v="39673"/>
    <n v="62267"/>
    <n v="15"/>
    <n v="105.20000000000002"/>
    <n v="0.8"/>
    <n v="11"/>
    <n v="1"/>
    <n v="85"/>
    <x v="1"/>
    <x v="3"/>
  </r>
  <r>
    <s v="EMP0488"/>
    <x v="146"/>
    <x v="4"/>
    <n v="348752"/>
    <n v="63570"/>
    <n v="38363"/>
    <n v="15"/>
    <n v="106.59999999999998"/>
    <n v="0.86666666666666703"/>
    <n v="0"/>
    <n v="0"/>
    <n v="56"/>
    <x v="0"/>
    <x v="2"/>
  </r>
  <r>
    <s v="EMP0489"/>
    <x v="161"/>
    <x v="8"/>
    <n v="394296"/>
    <n v="57449"/>
    <n v="43373"/>
    <n v="15"/>
    <n v="95.3"/>
    <n v="0.73333333333333295"/>
    <n v="0"/>
    <n v="0"/>
    <n v="96"/>
    <x v="2"/>
    <x v="0"/>
  </r>
  <r>
    <s v="EMP0490"/>
    <x v="208"/>
    <x v="8"/>
    <n v="590728"/>
    <n v="57074"/>
    <m/>
    <n v="14"/>
    <n v="72.400000000000006"/>
    <n v="0.5"/>
    <n v="0"/>
    <n v="0"/>
    <n v="96"/>
    <x v="3"/>
    <x v="0"/>
  </r>
  <r>
    <s v="EMP0491"/>
    <x v="264"/>
    <x v="4"/>
    <n v="755487"/>
    <n v="36375"/>
    <n v="83104"/>
    <n v="15"/>
    <n v="89.6"/>
    <n v="0.53333333333333299"/>
    <n v="0"/>
    <n v="0"/>
    <n v="90"/>
    <x v="0"/>
    <x v="0"/>
  </r>
  <r>
    <s v="EMP0492"/>
    <x v="293"/>
    <x v="9"/>
    <n v="769913"/>
    <n v="45838"/>
    <n v="84690"/>
    <n v="15"/>
    <n v="99.3"/>
    <n v="0.86666666666666703"/>
    <n v="0"/>
    <n v="0"/>
    <n v="71"/>
    <x v="3"/>
    <x v="1"/>
  </r>
  <r>
    <s v="EMP0493"/>
    <x v="156"/>
    <x v="6"/>
    <n v="697651"/>
    <n v="55703"/>
    <n v="76742"/>
    <n v="15"/>
    <n v="87.000000000000014"/>
    <n v="0.46666666666666701"/>
    <n v="13"/>
    <n v="1"/>
    <n v="67"/>
    <x v="2"/>
    <x v="2"/>
  </r>
  <r>
    <s v="EMP0494"/>
    <x v="10"/>
    <x v="8"/>
    <n v="500475"/>
    <n v="5278"/>
    <n v="55052"/>
    <n v="14"/>
    <n v="97"/>
    <n v="0.64285714285714302"/>
    <n v="0"/>
    <n v="0"/>
    <n v="94"/>
    <x v="2"/>
    <x v="0"/>
  </r>
  <r>
    <s v="EMP0495"/>
    <x v="294"/>
    <x v="0"/>
    <n v="621493"/>
    <n v="72794"/>
    <m/>
    <n v="15"/>
    <n v="98.1"/>
    <n v="0.73333333333333295"/>
    <n v="0"/>
    <n v="0"/>
    <n v="74"/>
    <x v="0"/>
    <x v="1"/>
  </r>
  <r>
    <s v="EMP0496"/>
    <x v="295"/>
    <x v="5"/>
    <n v="840418"/>
    <n v="9939"/>
    <n v="92446"/>
    <n v="15"/>
    <n v="95"/>
    <n v="0.73333333333333295"/>
    <n v="0"/>
    <n v="0"/>
    <n v="72"/>
    <x v="0"/>
    <x v="1"/>
  </r>
  <r>
    <s v="EMP0497"/>
    <x v="211"/>
    <x v="0"/>
    <n v="351353"/>
    <n v="63155"/>
    <n v="38649"/>
    <n v="14"/>
    <n v="82.500000000000014"/>
    <n v="0.57142857142857095"/>
    <n v="11"/>
    <n v="1"/>
    <n v="67"/>
    <x v="2"/>
    <x v="2"/>
  </r>
  <r>
    <s v="EMP0498"/>
    <x v="296"/>
    <x v="6"/>
    <n v="326974"/>
    <n v="13254"/>
    <n v="35967"/>
    <n v="15"/>
    <n v="110"/>
    <n v="0.86666666666666703"/>
    <n v="7"/>
    <n v="1"/>
    <n v="64"/>
    <x v="2"/>
    <x v="2"/>
  </r>
  <r>
    <s v="EMP0499"/>
    <x v="256"/>
    <x v="7"/>
    <n v="482619"/>
    <n v="7741"/>
    <n v="53088"/>
    <n v="15"/>
    <n v="88.199999999999989"/>
    <n v="0.66666666666666696"/>
    <n v="0"/>
    <n v="0"/>
    <n v="84"/>
    <x v="1"/>
    <x v="3"/>
  </r>
  <r>
    <s v="EMP0500"/>
    <x v="180"/>
    <x v="0"/>
    <n v="825170"/>
    <n v="11778"/>
    <n v="90769"/>
    <n v="15"/>
    <n v="115.80000000000001"/>
    <n v="0.86666666666666703"/>
    <n v="8"/>
    <n v="1"/>
    <n v="96"/>
    <x v="2"/>
    <x v="0"/>
  </r>
  <r>
    <s v="EMP0501"/>
    <x v="131"/>
    <x v="5"/>
    <n v="510918"/>
    <n v="47223"/>
    <n v="56201"/>
    <n v="15"/>
    <n v="104.60000000000002"/>
    <n v="0.73333333333333295"/>
    <n v="17"/>
    <n v="2"/>
    <n v="97"/>
    <x v="4"/>
    <x v="0"/>
  </r>
  <r>
    <s v="EMP0502"/>
    <x v="297"/>
    <x v="9"/>
    <n v="225895"/>
    <n v="3930"/>
    <m/>
    <n v="15"/>
    <n v="113.4"/>
    <n v="0.8"/>
    <n v="0"/>
    <n v="0"/>
    <n v="73"/>
    <x v="4"/>
    <x v="1"/>
  </r>
  <r>
    <s v="EMP0503"/>
    <x v="161"/>
    <x v="1"/>
    <n v="814410"/>
    <n v="57177"/>
    <n v="89585"/>
    <n v="15"/>
    <n v="103.6"/>
    <n v="0.66666666666666696"/>
    <n v="13"/>
    <n v="2"/>
    <n v="60"/>
    <x v="0"/>
    <x v="2"/>
  </r>
  <r>
    <s v="EMP0504"/>
    <x v="104"/>
    <x v="9"/>
    <n v="543722"/>
    <n v="19350"/>
    <n v="59809"/>
    <n v="15"/>
    <n v="107.89999999999999"/>
    <n v="0.73333333333333295"/>
    <n v="0"/>
    <n v="0"/>
    <n v="88"/>
    <x v="3"/>
    <x v="3"/>
  </r>
  <r>
    <s v="EMP0505"/>
    <x v="298"/>
    <x v="3"/>
    <n v="607227"/>
    <n v="12470"/>
    <m/>
    <n v="15"/>
    <n v="109.8"/>
    <n v="0.86666666666666703"/>
    <n v="8"/>
    <n v="1"/>
    <n v="76"/>
    <x v="1"/>
    <x v="1"/>
  </r>
  <r>
    <s v="EMP0506"/>
    <x v="299"/>
    <x v="7"/>
    <n v="485887"/>
    <n v="48465"/>
    <n v="53448"/>
    <n v="15"/>
    <n v="97.600000000000009"/>
    <n v="0.73333333333333295"/>
    <n v="0"/>
    <n v="0"/>
    <n v="87"/>
    <x v="1"/>
    <x v="3"/>
  </r>
  <r>
    <s v="EMP0507"/>
    <x v="238"/>
    <x v="6"/>
    <n v="305938"/>
    <n v="60159"/>
    <n v="33653"/>
    <n v="15"/>
    <n v="120.49999999999999"/>
    <n v="0.86666666666666703"/>
    <n v="0"/>
    <n v="0"/>
    <n v="69"/>
    <x v="4"/>
    <x v="2"/>
  </r>
  <r>
    <s v="EMP0508"/>
    <x v="281"/>
    <x v="0"/>
    <n v="608412"/>
    <n v="46465"/>
    <n v="66925"/>
    <n v="15"/>
    <n v="113.89999999999999"/>
    <n v="0.86666666666666703"/>
    <n v="0"/>
    <n v="0"/>
    <n v="68"/>
    <x v="2"/>
    <x v="2"/>
  </r>
  <r>
    <s v="EMP0509"/>
    <x v="232"/>
    <x v="9"/>
    <n v="420537"/>
    <n v="81444"/>
    <n v="46259"/>
    <n v="15"/>
    <n v="119.4"/>
    <n v="0.8"/>
    <n v="0"/>
    <n v="0"/>
    <n v="72"/>
    <x v="4"/>
    <x v="1"/>
  </r>
  <r>
    <s v="EMP0510"/>
    <x v="300"/>
    <x v="1"/>
    <n v="364824"/>
    <n v="72546"/>
    <n v="40131"/>
    <n v="15"/>
    <n v="96.800000000000011"/>
    <n v="0.66666666666666696"/>
    <n v="0"/>
    <n v="0"/>
    <n v="63"/>
    <x v="3"/>
    <x v="2"/>
  </r>
  <r>
    <s v="EMP0511"/>
    <x v="289"/>
    <x v="2"/>
    <n v="808406"/>
    <n v="82985"/>
    <n v="88925"/>
    <n v="15"/>
    <n v="88"/>
    <n v="0.66666666666666696"/>
    <n v="2"/>
    <n v="1"/>
    <n v="89"/>
    <x v="4"/>
    <x v="3"/>
  </r>
  <r>
    <s v="EMP0512"/>
    <x v="301"/>
    <x v="2"/>
    <n v="798442"/>
    <n v="25649"/>
    <n v="87829"/>
    <n v="14"/>
    <n v="63.599999999999994"/>
    <n v="0.42857142857142899"/>
    <n v="0"/>
    <n v="0"/>
    <n v="69"/>
    <x v="0"/>
    <x v="2"/>
  </r>
  <r>
    <s v="EMP0513"/>
    <x v="193"/>
    <x v="0"/>
    <n v="448860"/>
    <n v="78300"/>
    <n v="49375"/>
    <n v="14"/>
    <n v="80.400000000000006"/>
    <n v="0.64285714285714302"/>
    <n v="2"/>
    <n v="1"/>
    <n v="70"/>
    <x v="4"/>
    <x v="1"/>
  </r>
  <r>
    <s v="EMP0514"/>
    <x v="89"/>
    <x v="9"/>
    <n v="760542"/>
    <n v="52099"/>
    <n v="83660"/>
    <n v="14"/>
    <n v="105.1"/>
    <n v="0.85714285714285698"/>
    <n v="0"/>
    <n v="0"/>
    <n v="89"/>
    <x v="2"/>
    <x v="3"/>
  </r>
  <r>
    <s v="EMP0515"/>
    <x v="133"/>
    <x v="9"/>
    <n v="423413"/>
    <n v="83900"/>
    <n v="46575"/>
    <n v="15"/>
    <n v="103.3"/>
    <n v="0.8"/>
    <n v="0"/>
    <n v="0"/>
    <n v="100"/>
    <x v="3"/>
    <x v="0"/>
  </r>
  <r>
    <s v="EMP0516"/>
    <x v="302"/>
    <x v="5"/>
    <n v="245635"/>
    <n v="32114"/>
    <n v="27020"/>
    <n v="15"/>
    <n v="124.20000000000002"/>
    <n v="0.73333333333333295"/>
    <n v="2"/>
    <n v="1"/>
    <n v="76"/>
    <x v="0"/>
    <x v="1"/>
  </r>
  <r>
    <s v="EMP0517"/>
    <x v="20"/>
    <x v="0"/>
    <n v="538242"/>
    <n v="61375"/>
    <n v="59207"/>
    <n v="15"/>
    <n v="104.60000000000002"/>
    <n v="0.6"/>
    <n v="0"/>
    <n v="0"/>
    <n v="66"/>
    <x v="3"/>
    <x v="2"/>
  </r>
  <r>
    <s v="EMP0518"/>
    <x v="161"/>
    <x v="5"/>
    <n v="698263"/>
    <n v="85618"/>
    <n v="76809"/>
    <n v="15"/>
    <n v="96.2"/>
    <n v="0.66666666666666696"/>
    <n v="21"/>
    <n v="2"/>
    <n v="87"/>
    <x v="3"/>
    <x v="3"/>
  </r>
  <r>
    <s v="EMP0519"/>
    <x v="267"/>
    <x v="6"/>
    <n v="628588"/>
    <n v="21270"/>
    <n v="69145"/>
    <n v="15"/>
    <n v="92.999999999999986"/>
    <n v="0.66666666666666696"/>
    <n v="0"/>
    <n v="0"/>
    <n v="99"/>
    <x v="3"/>
    <x v="0"/>
  </r>
  <r>
    <s v="EMP0520"/>
    <x v="303"/>
    <x v="0"/>
    <n v="560168"/>
    <n v="70791"/>
    <n v="61618"/>
    <n v="15"/>
    <n v="95.899999999999991"/>
    <n v="0.66666666666666696"/>
    <n v="23"/>
    <n v="2"/>
    <n v="66"/>
    <x v="0"/>
    <x v="2"/>
  </r>
  <r>
    <s v="EMP0521"/>
    <x v="304"/>
    <x v="7"/>
    <n v="312084"/>
    <n v="56483"/>
    <n v="34329"/>
    <n v="15"/>
    <n v="80.899999999999991"/>
    <n v="0.46666666666666701"/>
    <n v="0"/>
    <n v="0"/>
    <n v="87"/>
    <x v="1"/>
    <x v="3"/>
  </r>
  <r>
    <s v="EMP0522"/>
    <x v="217"/>
    <x v="9"/>
    <n v="710254"/>
    <n v="61092"/>
    <n v="78128"/>
    <n v="15"/>
    <n v="115.30000000000003"/>
    <n v="0.86666666666666703"/>
    <n v="0"/>
    <n v="0"/>
    <n v="95"/>
    <x v="3"/>
    <x v="0"/>
  </r>
  <r>
    <s v="EMP0523"/>
    <x v="305"/>
    <x v="2"/>
    <n v="785530"/>
    <n v="82809"/>
    <n v="86408"/>
    <n v="15"/>
    <n v="96.5"/>
    <n v="0.66666666666666696"/>
    <n v="0"/>
    <n v="0"/>
    <n v="97"/>
    <x v="1"/>
    <x v="0"/>
  </r>
  <r>
    <s v="EMP0524"/>
    <x v="54"/>
    <x v="1"/>
    <n v="543398"/>
    <n v="66940"/>
    <n v="59774"/>
    <n v="15"/>
    <n v="79.800000000000011"/>
    <n v="0.6"/>
    <n v="0"/>
    <n v="0"/>
    <n v="75"/>
    <x v="4"/>
    <x v="1"/>
  </r>
  <r>
    <s v="EMP0525"/>
    <x v="306"/>
    <x v="5"/>
    <n v="820473"/>
    <n v="7043"/>
    <n v="90252"/>
    <n v="15"/>
    <n v="88.000000000000014"/>
    <n v="0.6"/>
    <n v="11"/>
    <n v="1"/>
    <n v="74"/>
    <x v="3"/>
    <x v="1"/>
  </r>
  <r>
    <s v="EMP0526"/>
    <x v="263"/>
    <x v="3"/>
    <n v="564506"/>
    <n v="70080"/>
    <n v="62096"/>
    <n v="15"/>
    <n v="101.60000000000001"/>
    <n v="0.8"/>
    <n v="0"/>
    <n v="0"/>
    <n v="97"/>
    <x v="0"/>
    <x v="0"/>
  </r>
  <r>
    <s v="EMP0527"/>
    <x v="248"/>
    <x v="7"/>
    <n v="584951"/>
    <n v="23135"/>
    <n v="64345"/>
    <n v="15"/>
    <n v="103.39999999999999"/>
    <n v="0.73333333333333295"/>
    <n v="3"/>
    <n v="1"/>
    <n v="61"/>
    <x v="4"/>
    <x v="2"/>
  </r>
  <r>
    <s v="EMP0528"/>
    <x v="307"/>
    <x v="3"/>
    <n v="377791"/>
    <n v="15414"/>
    <n v="41557"/>
    <n v="15"/>
    <n v="109.19999999999999"/>
    <n v="0.93333333333333302"/>
    <n v="14"/>
    <n v="1"/>
    <n v="79"/>
    <x v="3"/>
    <x v="1"/>
  </r>
  <r>
    <s v="EMP0529"/>
    <x v="149"/>
    <x v="6"/>
    <n v="302149"/>
    <n v="47750"/>
    <n v="33236"/>
    <n v="15"/>
    <n v="101.29999999999998"/>
    <n v="0.8"/>
    <n v="0"/>
    <n v="0"/>
    <n v="61"/>
    <x v="4"/>
    <x v="2"/>
  </r>
  <r>
    <s v="EMP0530"/>
    <x v="291"/>
    <x v="5"/>
    <n v="514195"/>
    <n v="82651"/>
    <n v="56561"/>
    <n v="15"/>
    <n v="120.80000000000001"/>
    <n v="0.93333333333333302"/>
    <n v="0"/>
    <n v="0"/>
    <n v="78"/>
    <x v="0"/>
    <x v="1"/>
  </r>
  <r>
    <s v="EMP0531"/>
    <x v="308"/>
    <x v="9"/>
    <n v="588760"/>
    <n v="84998"/>
    <n v="64764"/>
    <n v="15"/>
    <n v="121.99999999999999"/>
    <n v="0.86666666666666703"/>
    <n v="13"/>
    <n v="1"/>
    <n v="74"/>
    <x v="2"/>
    <x v="1"/>
  </r>
  <r>
    <s v="EMP0532"/>
    <x v="280"/>
    <x v="3"/>
    <n v="577028"/>
    <n v="19908"/>
    <n v="63473"/>
    <n v="15"/>
    <n v="85.3"/>
    <n v="0.73333333333333295"/>
    <n v="0"/>
    <n v="0"/>
    <n v="70"/>
    <x v="2"/>
    <x v="1"/>
  </r>
  <r>
    <s v="EMP0533"/>
    <x v="46"/>
    <x v="10"/>
    <n v="441309"/>
    <n v="59952"/>
    <n v="48544"/>
    <n v="14"/>
    <n v="89.600000000000009"/>
    <n v="0.64285714285714302"/>
    <n v="0"/>
    <n v="0"/>
    <n v="91"/>
    <x v="4"/>
    <x v="0"/>
  </r>
  <r>
    <s v="EMP0534"/>
    <x v="253"/>
    <x v="3"/>
    <n v="689064"/>
    <n v="20426"/>
    <n v="75797"/>
    <n v="15"/>
    <n v="119.80000000000001"/>
    <n v="0.93333333333333302"/>
    <n v="5"/>
    <n v="1"/>
    <n v="57"/>
    <x v="0"/>
    <x v="2"/>
  </r>
  <r>
    <s v="EMP0535"/>
    <x v="62"/>
    <x v="3"/>
    <n v="793981"/>
    <n v="17230"/>
    <n v="87338"/>
    <n v="15"/>
    <n v="108.2"/>
    <n v="0.8"/>
    <n v="13"/>
    <n v="2"/>
    <n v="64"/>
    <x v="3"/>
    <x v="2"/>
  </r>
  <r>
    <s v="EMP0536"/>
    <x v="216"/>
    <x v="2"/>
    <n v="646068"/>
    <n v="69135"/>
    <n v="71067"/>
    <n v="15"/>
    <n v="103.80000000000001"/>
    <n v="0.6"/>
    <n v="0"/>
    <n v="0"/>
    <n v="84"/>
    <x v="4"/>
    <x v="3"/>
  </r>
  <r>
    <s v="EMP0537"/>
    <x v="309"/>
    <x v="9"/>
    <n v="672804"/>
    <n v="87723"/>
    <n v="74008"/>
    <n v="15"/>
    <n v="104"/>
    <n v="0.86666666666666703"/>
    <n v="0"/>
    <n v="0"/>
    <n v="58"/>
    <x v="3"/>
    <x v="2"/>
  </r>
  <r>
    <s v="EMP0538"/>
    <x v="310"/>
    <x v="9"/>
    <n v="411520"/>
    <n v="55515"/>
    <n v="45267"/>
    <n v="15"/>
    <n v="85.8"/>
    <n v="0.6"/>
    <n v="14"/>
    <n v="1"/>
    <n v="59"/>
    <x v="4"/>
    <x v="2"/>
  </r>
  <r>
    <s v="EMP0539"/>
    <x v="239"/>
    <x v="10"/>
    <n v="351154"/>
    <n v="85740"/>
    <n v="38627"/>
    <n v="15"/>
    <n v="93.5"/>
    <n v="0.8"/>
    <n v="0"/>
    <n v="0"/>
    <n v="93"/>
    <x v="0"/>
    <x v="0"/>
  </r>
  <r>
    <s v="EMP0540"/>
    <x v="222"/>
    <x v="0"/>
    <n v="299604"/>
    <n v="33826"/>
    <n v="32956"/>
    <n v="15"/>
    <n v="124.6"/>
    <n v="0.86666666666666703"/>
    <n v="0"/>
    <n v="0"/>
    <n v="60"/>
    <x v="3"/>
    <x v="2"/>
  </r>
  <r>
    <s v="EMP0541"/>
    <x v="311"/>
    <x v="5"/>
    <n v="595426"/>
    <n v="84139"/>
    <n v="65497"/>
    <n v="15"/>
    <n v="105.49999999999999"/>
    <n v="0.73333333333333295"/>
    <n v="7"/>
    <n v="1"/>
    <n v="91"/>
    <x v="3"/>
    <x v="0"/>
  </r>
  <r>
    <s v="EMP0542"/>
    <x v="156"/>
    <x v="3"/>
    <n v="566639"/>
    <n v="24839"/>
    <n v="62330"/>
    <n v="14"/>
    <n v="90.199999999999989"/>
    <n v="0.78571428571428603"/>
    <n v="0"/>
    <n v="0"/>
    <n v="65"/>
    <x v="4"/>
    <x v="2"/>
  </r>
  <r>
    <s v="EMP0543"/>
    <x v="70"/>
    <x v="3"/>
    <n v="523893"/>
    <n v="21207"/>
    <n v="57628"/>
    <n v="15"/>
    <n v="113.19999999999999"/>
    <n v="0.8"/>
    <n v="0"/>
    <n v="0"/>
    <n v="82"/>
    <x v="3"/>
    <x v="3"/>
  </r>
  <r>
    <s v="EMP0544"/>
    <x v="69"/>
    <x v="8"/>
    <n v="793950"/>
    <n v="70960"/>
    <n v="87334"/>
    <n v="15"/>
    <n v="97.8"/>
    <n v="0.73333333333333295"/>
    <n v="12"/>
    <n v="1"/>
    <n v="62"/>
    <x v="2"/>
    <x v="2"/>
  </r>
  <r>
    <s v="EMP0545"/>
    <x v="302"/>
    <x v="2"/>
    <n v="803779"/>
    <n v="24581"/>
    <n v="88416"/>
    <n v="15"/>
    <n v="96.200000000000017"/>
    <n v="0.8"/>
    <n v="27"/>
    <n v="2"/>
    <n v="92"/>
    <x v="1"/>
    <x v="0"/>
  </r>
  <r>
    <s v="EMP0546"/>
    <x v="84"/>
    <x v="8"/>
    <n v="477780"/>
    <n v="85076"/>
    <n v="52556"/>
    <n v="15"/>
    <n v="103.79999999999998"/>
    <n v="0.6"/>
    <n v="0"/>
    <n v="0"/>
    <n v="87"/>
    <x v="4"/>
    <x v="3"/>
  </r>
  <r>
    <s v="EMP0547"/>
    <x v="278"/>
    <x v="7"/>
    <n v="256233"/>
    <n v="69146"/>
    <n v="28186"/>
    <n v="15"/>
    <n v="103.3"/>
    <n v="0.66666666666666696"/>
    <n v="14"/>
    <n v="2"/>
    <n v="62"/>
    <x v="4"/>
    <x v="2"/>
  </r>
  <r>
    <s v="EMP0548"/>
    <x v="120"/>
    <x v="2"/>
    <n v="796638"/>
    <n v="72173"/>
    <n v="87630"/>
    <n v="15"/>
    <n v="103.3"/>
    <n v="0.86666666666666703"/>
    <n v="13"/>
    <n v="1"/>
    <n v="57"/>
    <x v="0"/>
    <x v="2"/>
  </r>
  <r>
    <s v="EMP0549"/>
    <x v="243"/>
    <x v="1"/>
    <n v="394448"/>
    <n v="595"/>
    <n v="43389"/>
    <n v="15"/>
    <n v="102"/>
    <n v="0.86666666666666703"/>
    <n v="0"/>
    <n v="0"/>
    <n v="96"/>
    <x v="1"/>
    <x v="0"/>
  </r>
  <r>
    <s v="EMP0550"/>
    <x v="312"/>
    <x v="9"/>
    <n v="368238"/>
    <n v="38922"/>
    <n v="40506"/>
    <n v="15"/>
    <n v="104.9"/>
    <n v="0.86666666666666703"/>
    <n v="10"/>
    <n v="1"/>
    <n v="70"/>
    <x v="2"/>
    <x v="1"/>
  </r>
  <r>
    <s v="EMP0551"/>
    <x v="276"/>
    <x v="0"/>
    <n v="264560"/>
    <n v="87182"/>
    <n v="29102"/>
    <n v="15"/>
    <n v="98.699999999999989"/>
    <n v="0.66666666666666696"/>
    <n v="0"/>
    <n v="0"/>
    <n v="96"/>
    <x v="2"/>
    <x v="0"/>
  </r>
  <r>
    <s v="EMP0552"/>
    <x v="310"/>
    <x v="8"/>
    <n v="781868"/>
    <n v="81806"/>
    <n v="86005"/>
    <n v="15"/>
    <n v="102.8"/>
    <n v="0.86666666666666703"/>
    <n v="0"/>
    <n v="0"/>
    <n v="77"/>
    <x v="3"/>
    <x v="1"/>
  </r>
  <r>
    <s v="EMP0553"/>
    <x v="204"/>
    <x v="1"/>
    <n v="233395"/>
    <n v="82242"/>
    <n v="25673"/>
    <n v="15"/>
    <n v="112.19999999999999"/>
    <n v="0.66666666666666696"/>
    <n v="0"/>
    <n v="0"/>
    <n v="67"/>
    <x v="0"/>
    <x v="2"/>
  </r>
  <r>
    <s v="EMP0554"/>
    <x v="142"/>
    <x v="10"/>
    <n v="652988"/>
    <n v="59399"/>
    <n v="71829"/>
    <n v="15"/>
    <n v="108.8"/>
    <n v="0.8"/>
    <n v="3"/>
    <n v="1"/>
    <n v="75"/>
    <x v="1"/>
    <x v="1"/>
  </r>
  <r>
    <s v="EMP0555"/>
    <x v="110"/>
    <x v="9"/>
    <n v="498607"/>
    <n v="67723"/>
    <n v="54847"/>
    <n v="15"/>
    <n v="96.000000000000014"/>
    <n v="0.66666666666666696"/>
    <n v="12"/>
    <n v="1"/>
    <n v="99"/>
    <x v="4"/>
    <x v="0"/>
  </r>
  <r>
    <s v="EMP0556"/>
    <x v="139"/>
    <x v="0"/>
    <n v="376928"/>
    <n v="52916"/>
    <n v="41462"/>
    <n v="15"/>
    <n v="112.3"/>
    <n v="0.8"/>
    <n v="0"/>
    <n v="0"/>
    <n v="82"/>
    <x v="2"/>
    <x v="3"/>
  </r>
  <r>
    <s v="EMP0557"/>
    <x v="171"/>
    <x v="2"/>
    <n v="290569"/>
    <n v="7413"/>
    <n v="31963"/>
    <n v="15"/>
    <n v="105.1"/>
    <n v="0.8"/>
    <n v="0"/>
    <n v="0"/>
    <n v="63"/>
    <x v="4"/>
    <x v="2"/>
  </r>
  <r>
    <s v="EMP0558"/>
    <x v="313"/>
    <x v="1"/>
    <n v="383619"/>
    <n v="7010"/>
    <n v="42198"/>
    <n v="15"/>
    <n v="86.2"/>
    <n v="0.73333333333333295"/>
    <n v="0"/>
    <n v="0"/>
    <n v="79"/>
    <x v="0"/>
    <x v="1"/>
  </r>
  <r>
    <s v="EMP0559"/>
    <x v="238"/>
    <x v="1"/>
    <n v="541732"/>
    <n v="40242"/>
    <n v="59591"/>
    <n v="15"/>
    <n v="113.9"/>
    <n v="0.86666666666666703"/>
    <n v="3"/>
    <n v="1"/>
    <n v="60"/>
    <x v="4"/>
    <x v="2"/>
  </r>
  <r>
    <s v="EMP0560"/>
    <x v="281"/>
    <x v="3"/>
    <n v="721699"/>
    <n v="69216"/>
    <n v="79387"/>
    <n v="15"/>
    <n v="105.2"/>
    <n v="0.6"/>
    <n v="8"/>
    <n v="1"/>
    <n v="78"/>
    <x v="2"/>
    <x v="1"/>
  </r>
  <r>
    <s v="EMP0561"/>
    <x v="314"/>
    <x v="0"/>
    <n v="598085"/>
    <n v="10660"/>
    <m/>
    <n v="15"/>
    <n v="72.299999999999983"/>
    <n v="0.46666666666666701"/>
    <n v="0"/>
    <n v="0"/>
    <n v="79"/>
    <x v="1"/>
    <x v="1"/>
  </r>
  <r>
    <s v="EMP0562"/>
    <x v="136"/>
    <x v="2"/>
    <n v="240534"/>
    <n v="57644"/>
    <n v="26459"/>
    <n v="15"/>
    <n v="100.3"/>
    <n v="0.8"/>
    <n v="0"/>
    <n v="0"/>
    <n v="71"/>
    <x v="4"/>
    <x v="1"/>
  </r>
  <r>
    <s v="EMP0563"/>
    <x v="315"/>
    <x v="6"/>
    <n v="843880"/>
    <n v="1515"/>
    <n v="92827"/>
    <n v="15"/>
    <n v="116.10000000000001"/>
    <n v="1"/>
    <n v="0"/>
    <n v="0"/>
    <n v="72"/>
    <x v="0"/>
    <x v="1"/>
  </r>
  <r>
    <s v="EMP0564"/>
    <x v="90"/>
    <x v="2"/>
    <n v="440209"/>
    <n v="16945"/>
    <n v="48423"/>
    <n v="15"/>
    <n v="112.4"/>
    <n v="0.8"/>
    <n v="0"/>
    <n v="0"/>
    <n v="70"/>
    <x v="3"/>
    <x v="1"/>
  </r>
  <r>
    <s v="EMP0565"/>
    <x v="201"/>
    <x v="7"/>
    <n v="430350"/>
    <n v="23950"/>
    <n v="47338"/>
    <n v="15"/>
    <n v="89.8"/>
    <n v="0.66666666666666696"/>
    <n v="2"/>
    <n v="1"/>
    <n v="66"/>
    <x v="4"/>
    <x v="2"/>
  </r>
  <r>
    <s v="EMP0566"/>
    <x v="184"/>
    <x v="9"/>
    <n v="270615"/>
    <n v="61770"/>
    <n v="29768"/>
    <n v="14"/>
    <n v="96"/>
    <n v="0.78571428571428603"/>
    <n v="4"/>
    <n v="1"/>
    <n v="88"/>
    <x v="1"/>
    <x v="3"/>
  </r>
  <r>
    <s v="EMP0567"/>
    <x v="316"/>
    <x v="5"/>
    <n v="627503"/>
    <n v="81226"/>
    <n v="69025"/>
    <n v="14"/>
    <n v="98.2"/>
    <n v="0.78571428571428603"/>
    <n v="0"/>
    <n v="0"/>
    <n v="80"/>
    <x v="4"/>
    <x v="3"/>
  </r>
  <r>
    <s v="EMP0568"/>
    <x v="39"/>
    <x v="5"/>
    <n v="347193"/>
    <n v="33432"/>
    <n v="38191"/>
    <n v="15"/>
    <n v="102.5"/>
    <n v="0.8"/>
    <n v="0"/>
    <n v="0"/>
    <n v="61"/>
    <x v="0"/>
    <x v="2"/>
  </r>
  <r>
    <s v="EMP0569"/>
    <x v="150"/>
    <x v="1"/>
    <n v="501072"/>
    <n v="42391"/>
    <n v="55118"/>
    <n v="15"/>
    <n v="107.4"/>
    <n v="0.73333333333333295"/>
    <n v="2"/>
    <n v="1"/>
    <n v="77"/>
    <x v="1"/>
    <x v="1"/>
  </r>
  <r>
    <s v="EMP0570"/>
    <x v="307"/>
    <x v="10"/>
    <n v="364029"/>
    <n v="71336"/>
    <n v="40043"/>
    <n v="14"/>
    <n v="96.3"/>
    <n v="0.5"/>
    <n v="0"/>
    <n v="0"/>
    <n v="61"/>
    <x v="0"/>
    <x v="2"/>
  </r>
  <r>
    <s v="EMP0571"/>
    <x v="256"/>
    <x v="9"/>
    <n v="843811"/>
    <n v="77349"/>
    <n v="92819"/>
    <n v="15"/>
    <n v="87.199999999999989"/>
    <n v="0.53333333333333299"/>
    <n v="0"/>
    <n v="0"/>
    <n v="77"/>
    <x v="4"/>
    <x v="1"/>
  </r>
  <r>
    <s v="EMP0572"/>
    <x v="180"/>
    <x v="3"/>
    <n v="711460"/>
    <n v="34321"/>
    <n v="78261"/>
    <n v="15"/>
    <n v="101.39999999999999"/>
    <n v="0.8"/>
    <n v="0"/>
    <n v="0"/>
    <n v="60"/>
    <x v="3"/>
    <x v="2"/>
  </r>
  <r>
    <s v="EMP0573"/>
    <x v="179"/>
    <x v="9"/>
    <n v="536002"/>
    <n v="77463"/>
    <n v="58960"/>
    <n v="14"/>
    <n v="95.2"/>
    <n v="0.71428571428571397"/>
    <n v="0"/>
    <n v="0"/>
    <n v="65"/>
    <x v="2"/>
    <x v="2"/>
  </r>
  <r>
    <s v="EMP0574"/>
    <x v="45"/>
    <x v="5"/>
    <n v="269356"/>
    <n v="38864"/>
    <n v="29629"/>
    <n v="15"/>
    <n v="104.3"/>
    <n v="0.8"/>
    <n v="0"/>
    <n v="0"/>
    <n v="95"/>
    <x v="4"/>
    <x v="0"/>
  </r>
  <r>
    <s v="EMP0575"/>
    <x v="49"/>
    <x v="3"/>
    <n v="763837"/>
    <n v="3090"/>
    <n v="84022"/>
    <n v="15"/>
    <n v="119"/>
    <n v="0.8"/>
    <n v="0"/>
    <n v="0"/>
    <n v="84"/>
    <x v="2"/>
    <x v="3"/>
  </r>
  <r>
    <s v="EMP0576"/>
    <x v="164"/>
    <x v="9"/>
    <n v="709926"/>
    <n v="87312"/>
    <n v="78092"/>
    <n v="15"/>
    <n v="89.6"/>
    <n v="0.53333333333333299"/>
    <n v="0"/>
    <n v="0"/>
    <n v="66"/>
    <x v="3"/>
    <x v="2"/>
  </r>
  <r>
    <s v="EMP0577"/>
    <x v="317"/>
    <x v="0"/>
    <n v="809376"/>
    <n v="27251"/>
    <n v="89031"/>
    <n v="15"/>
    <n v="115.10000000000001"/>
    <n v="0.86666666666666703"/>
    <n v="0"/>
    <n v="0"/>
    <n v="60"/>
    <x v="2"/>
    <x v="2"/>
  </r>
  <r>
    <s v="EMP0578"/>
    <x v="5"/>
    <x v="0"/>
    <n v="488015"/>
    <n v="67600"/>
    <n v="53682"/>
    <n v="15"/>
    <n v="106.19999999999999"/>
    <n v="0.73333333333333295"/>
    <n v="0"/>
    <n v="0"/>
    <n v="82"/>
    <x v="1"/>
    <x v="3"/>
  </r>
  <r>
    <s v="EMP0579"/>
    <x v="266"/>
    <x v="6"/>
    <n v="333161"/>
    <n v="75264"/>
    <n v="36648"/>
    <n v="15"/>
    <n v="120.50000000000001"/>
    <n v="0.8"/>
    <n v="5"/>
    <n v="1"/>
    <n v="58"/>
    <x v="3"/>
    <x v="2"/>
  </r>
  <r>
    <s v="EMP0580"/>
    <x v="6"/>
    <x v="3"/>
    <n v="812023"/>
    <n v="37465"/>
    <n v="89323"/>
    <n v="15"/>
    <n v="94.7"/>
    <n v="0.6"/>
    <n v="0"/>
    <n v="0"/>
    <n v="84"/>
    <x v="1"/>
    <x v="3"/>
  </r>
  <r>
    <s v="EMP0581"/>
    <x v="142"/>
    <x v="8"/>
    <n v="353170"/>
    <n v="35928"/>
    <n v="38849"/>
    <n v="14"/>
    <n v="109.1"/>
    <n v="0.92857142857142905"/>
    <n v="2"/>
    <n v="1"/>
    <n v="91"/>
    <x v="4"/>
    <x v="0"/>
  </r>
  <r>
    <s v="EMP0582"/>
    <x v="318"/>
    <x v="10"/>
    <n v="611230"/>
    <n v="86279"/>
    <n v="67235"/>
    <n v="15"/>
    <n v="114"/>
    <n v="0.93333333333333302"/>
    <n v="0"/>
    <n v="0"/>
    <n v="86"/>
    <x v="0"/>
    <x v="3"/>
  </r>
  <r>
    <s v="EMP0583"/>
    <x v="125"/>
    <x v="8"/>
    <n v="588782"/>
    <n v="21219"/>
    <n v="64766"/>
    <n v="15"/>
    <n v="101.99999999999999"/>
    <n v="0.53333333333333299"/>
    <n v="6"/>
    <n v="1"/>
    <n v="76"/>
    <x v="1"/>
    <x v="1"/>
  </r>
  <r>
    <s v="EMP0584"/>
    <x v="319"/>
    <x v="7"/>
    <n v="688293"/>
    <n v="47322"/>
    <n v="75712"/>
    <n v="15"/>
    <n v="103.2"/>
    <n v="0.73333333333333295"/>
    <n v="9"/>
    <n v="1"/>
    <n v="85"/>
    <x v="2"/>
    <x v="3"/>
  </r>
  <r>
    <s v="EMP0585"/>
    <x v="320"/>
    <x v="5"/>
    <n v="832418"/>
    <n v="67934"/>
    <n v="91566"/>
    <n v="15"/>
    <n v="93.9"/>
    <n v="0.66666666666666696"/>
    <n v="6"/>
    <n v="1"/>
    <n v="83"/>
    <x v="0"/>
    <x v="3"/>
  </r>
  <r>
    <s v="EMP0586"/>
    <x v="321"/>
    <x v="0"/>
    <n v="468750"/>
    <n v="5166"/>
    <n v="51562"/>
    <n v="15"/>
    <n v="111.50000000000001"/>
    <n v="0.8"/>
    <n v="0"/>
    <n v="0"/>
    <n v="89"/>
    <x v="4"/>
    <x v="3"/>
  </r>
  <r>
    <s v="EMP0587"/>
    <x v="139"/>
    <x v="2"/>
    <n v="647980"/>
    <n v="77353"/>
    <n v="71278"/>
    <n v="15"/>
    <n v="87.2"/>
    <n v="0.53333333333333299"/>
    <n v="0"/>
    <n v="0"/>
    <n v="80"/>
    <x v="3"/>
    <x v="3"/>
  </r>
  <r>
    <s v="EMP0588"/>
    <x v="322"/>
    <x v="1"/>
    <n v="617820"/>
    <n v="72485"/>
    <n v="67960"/>
    <n v="15"/>
    <n v="103.19999999999999"/>
    <n v="0.8"/>
    <n v="6"/>
    <n v="1"/>
    <n v="84"/>
    <x v="4"/>
    <x v="3"/>
  </r>
  <r>
    <s v="EMP0589"/>
    <x v="318"/>
    <x v="10"/>
    <n v="405935"/>
    <n v="30376"/>
    <n v="44653"/>
    <n v="15"/>
    <n v="90.4"/>
    <n v="0.6"/>
    <n v="21"/>
    <n v="2"/>
    <n v="94"/>
    <x v="0"/>
    <x v="0"/>
  </r>
  <r>
    <s v="EMP0590"/>
    <x v="214"/>
    <x v="3"/>
    <n v="410446"/>
    <n v="78267"/>
    <n v="45149"/>
    <n v="15"/>
    <n v="85.300000000000011"/>
    <n v="0.53333333333333299"/>
    <n v="0"/>
    <n v="0"/>
    <n v="56"/>
    <x v="2"/>
    <x v="2"/>
  </r>
  <r>
    <s v="EMP0591"/>
    <x v="18"/>
    <x v="1"/>
    <n v="710647"/>
    <n v="23617"/>
    <n v="78171"/>
    <n v="15"/>
    <n v="101.89999999999999"/>
    <n v="0.73333333333333295"/>
    <n v="17"/>
    <n v="2"/>
    <n v="75"/>
    <x v="3"/>
    <x v="1"/>
  </r>
  <r>
    <s v="EMP0592"/>
    <x v="1"/>
    <x v="4"/>
    <n v="456015"/>
    <n v="23990"/>
    <n v="50162"/>
    <n v="15"/>
    <n v="105.9"/>
    <n v="0.8"/>
    <n v="0"/>
    <n v="0"/>
    <n v="88"/>
    <x v="4"/>
    <x v="3"/>
  </r>
  <r>
    <s v="EMP0593"/>
    <x v="97"/>
    <x v="5"/>
    <n v="766323"/>
    <n v="58792"/>
    <n v="84296"/>
    <n v="15"/>
    <n v="103.39999999999998"/>
    <n v="0.66666666666666696"/>
    <n v="0"/>
    <n v="0"/>
    <n v="61"/>
    <x v="3"/>
    <x v="2"/>
  </r>
  <r>
    <s v="EMP0594"/>
    <x v="18"/>
    <x v="8"/>
    <n v="764069"/>
    <n v="23736"/>
    <n v="84048"/>
    <n v="15"/>
    <n v="94.3"/>
    <n v="0.73333333333333295"/>
    <n v="21"/>
    <n v="2"/>
    <n v="67"/>
    <x v="0"/>
    <x v="2"/>
  </r>
  <r>
    <s v="EMP0595"/>
    <x v="204"/>
    <x v="1"/>
    <n v="762156"/>
    <n v="4904"/>
    <n v="83837"/>
    <n v="15"/>
    <n v="112.6"/>
    <n v="0.93333333333333302"/>
    <n v="0"/>
    <n v="0"/>
    <n v="91"/>
    <x v="2"/>
    <x v="0"/>
  </r>
  <r>
    <s v="EMP0596"/>
    <x v="323"/>
    <x v="8"/>
    <n v="250195"/>
    <n v="68865"/>
    <n v="27521"/>
    <n v="15"/>
    <n v="89.3"/>
    <n v="0.66666666666666696"/>
    <n v="8"/>
    <n v="1"/>
    <n v="70"/>
    <x v="2"/>
    <x v="1"/>
  </r>
  <r>
    <s v="EMP0597"/>
    <x v="260"/>
    <x v="1"/>
    <n v="394759"/>
    <n v="21771"/>
    <n v="43423"/>
    <n v="15"/>
    <n v="77.8"/>
    <n v="0.6"/>
    <n v="0"/>
    <n v="0"/>
    <n v="92"/>
    <x v="4"/>
    <x v="0"/>
  </r>
  <r>
    <s v="EMP0598"/>
    <x v="7"/>
    <x v="7"/>
    <n v="674252"/>
    <n v="2191"/>
    <n v="74168"/>
    <n v="15"/>
    <n v="94.399999999999991"/>
    <n v="0.73333333333333295"/>
    <n v="0"/>
    <n v="0"/>
    <n v="67"/>
    <x v="3"/>
    <x v="2"/>
  </r>
  <r>
    <s v="EMP0599"/>
    <x v="278"/>
    <x v="2"/>
    <n v="825957"/>
    <n v="4483"/>
    <n v="90855"/>
    <n v="15"/>
    <n v="100"/>
    <n v="0.73333333333333295"/>
    <n v="6"/>
    <n v="1"/>
    <n v="57"/>
    <x v="4"/>
    <x v="2"/>
  </r>
  <r>
    <s v="EMP0600"/>
    <x v="257"/>
    <x v="7"/>
    <n v="367672"/>
    <n v="101"/>
    <m/>
    <n v="15"/>
    <n v="104"/>
    <n v="0.66666666666666696"/>
    <n v="0"/>
    <n v="0"/>
    <n v="76"/>
    <x v="2"/>
    <x v="1"/>
  </r>
  <r>
    <s v="EMP0601"/>
    <x v="324"/>
    <x v="8"/>
    <n v="324292"/>
    <n v="14014"/>
    <n v="35672"/>
    <n v="15"/>
    <n v="71.699999999999989"/>
    <n v="0.6"/>
    <n v="0"/>
    <n v="0"/>
    <n v="65"/>
    <x v="0"/>
    <x v="2"/>
  </r>
  <r>
    <s v="EMP0602"/>
    <x v="74"/>
    <x v="0"/>
    <n v="721679"/>
    <n v="51898"/>
    <n v="79385"/>
    <n v="15"/>
    <n v="103.89999999999999"/>
    <n v="0.86666666666666703"/>
    <n v="12"/>
    <n v="1"/>
    <n v="81"/>
    <x v="3"/>
    <x v="3"/>
  </r>
  <r>
    <s v="EMP0603"/>
    <x v="174"/>
    <x v="10"/>
    <n v="655179"/>
    <n v="82344"/>
    <n v="72070"/>
    <n v="15"/>
    <n v="98.000000000000014"/>
    <n v="0.66666666666666696"/>
    <n v="0"/>
    <n v="0"/>
    <n v="97"/>
    <x v="2"/>
    <x v="0"/>
  </r>
  <r>
    <s v="EMP0604"/>
    <x v="266"/>
    <x v="8"/>
    <n v="638435"/>
    <n v="20678"/>
    <n v="70228"/>
    <n v="14"/>
    <n v="82.799999999999983"/>
    <n v="0.71428571428571397"/>
    <n v="0"/>
    <n v="0"/>
    <n v="61"/>
    <x v="4"/>
    <x v="2"/>
  </r>
  <r>
    <s v="EMP0605"/>
    <x v="325"/>
    <x v="1"/>
    <n v="574202"/>
    <n v="40581"/>
    <n v="63162"/>
    <n v="15"/>
    <n v="102.39999999999999"/>
    <n v="0.86666666666666703"/>
    <n v="0"/>
    <n v="0"/>
    <n v="84"/>
    <x v="2"/>
    <x v="3"/>
  </r>
  <r>
    <s v="EMP0606"/>
    <x v="156"/>
    <x v="2"/>
    <n v="563466"/>
    <n v="15526"/>
    <n v="61981"/>
    <n v="15"/>
    <n v="110.89999999999999"/>
    <n v="0.8"/>
    <n v="9"/>
    <n v="2"/>
    <n v="57"/>
    <x v="0"/>
    <x v="2"/>
  </r>
  <r>
    <s v="EMP0607"/>
    <x v="326"/>
    <x v="1"/>
    <n v="517251"/>
    <n v="29683"/>
    <n v="56898"/>
    <n v="15"/>
    <n v="96.90000000000002"/>
    <n v="0.6"/>
    <n v="0"/>
    <n v="0"/>
    <n v="98"/>
    <x v="4"/>
    <x v="0"/>
  </r>
  <r>
    <s v="EMP0608"/>
    <x v="76"/>
    <x v="8"/>
    <n v="271126"/>
    <n v="65186"/>
    <n v="29824"/>
    <n v="15"/>
    <n v="101.79999999999998"/>
    <n v="0.73333333333333295"/>
    <n v="13"/>
    <n v="1"/>
    <n v="82"/>
    <x v="4"/>
    <x v="3"/>
  </r>
  <r>
    <s v="EMP0609"/>
    <x v="247"/>
    <x v="6"/>
    <n v="803422"/>
    <n v="53162"/>
    <n v="88376"/>
    <n v="15"/>
    <n v="109.79999999999997"/>
    <n v="0.8"/>
    <n v="0"/>
    <n v="0"/>
    <n v="76"/>
    <x v="1"/>
    <x v="1"/>
  </r>
  <r>
    <s v="EMP0610"/>
    <x v="25"/>
    <x v="6"/>
    <n v="616263"/>
    <n v="87727"/>
    <n v="67789"/>
    <n v="15"/>
    <n v="65.7"/>
    <n v="0.46666666666666701"/>
    <n v="0"/>
    <n v="0"/>
    <n v="99"/>
    <x v="2"/>
    <x v="0"/>
  </r>
  <r>
    <s v="EMP0611"/>
    <x v="241"/>
    <x v="1"/>
    <n v="336611"/>
    <n v="32054"/>
    <n v="37027"/>
    <n v="15"/>
    <n v="106.99999999999999"/>
    <n v="0.86666666666666703"/>
    <n v="0"/>
    <n v="0"/>
    <n v="100"/>
    <x v="3"/>
    <x v="0"/>
  </r>
  <r>
    <s v="EMP0612"/>
    <x v="143"/>
    <x v="6"/>
    <n v="813563"/>
    <n v="75270"/>
    <n v="89492"/>
    <n v="15"/>
    <n v="99.40000000000002"/>
    <n v="0.66666666666666696"/>
    <n v="0"/>
    <n v="0"/>
    <n v="59"/>
    <x v="4"/>
    <x v="2"/>
  </r>
  <r>
    <s v="EMP0613"/>
    <x v="236"/>
    <x v="9"/>
    <n v="680980"/>
    <n v="19181"/>
    <n v="74908"/>
    <n v="15"/>
    <n v="123.1"/>
    <n v="0.8"/>
    <n v="13"/>
    <n v="1"/>
    <n v="62"/>
    <x v="1"/>
    <x v="2"/>
  </r>
  <r>
    <s v="EMP0614"/>
    <x v="327"/>
    <x v="8"/>
    <n v="329002"/>
    <n v="54938"/>
    <n v="36190"/>
    <n v="15"/>
    <n v="93.9"/>
    <n v="0.66666666666666696"/>
    <n v="6"/>
    <n v="1"/>
    <n v="82"/>
    <x v="3"/>
    <x v="3"/>
  </r>
  <r>
    <s v="EMP0615"/>
    <x v="274"/>
    <x v="3"/>
    <n v="352502"/>
    <n v="44195"/>
    <n v="38775"/>
    <n v="15"/>
    <n v="112.50000000000001"/>
    <n v="0.93333333333333302"/>
    <n v="21"/>
    <n v="2"/>
    <n v="71"/>
    <x v="1"/>
    <x v="1"/>
  </r>
  <r>
    <s v="EMP0616"/>
    <x v="128"/>
    <x v="2"/>
    <n v="520860"/>
    <n v="71681"/>
    <n v="57295"/>
    <n v="14"/>
    <n v="81.399999999999991"/>
    <n v="0.64285714285714302"/>
    <n v="0"/>
    <n v="0"/>
    <n v="83"/>
    <x v="1"/>
    <x v="3"/>
  </r>
  <r>
    <s v="EMP0617"/>
    <x v="175"/>
    <x v="6"/>
    <n v="377222"/>
    <n v="72488"/>
    <n v="41494"/>
    <n v="15"/>
    <n v="95.8"/>
    <n v="0.8"/>
    <n v="0"/>
    <n v="0"/>
    <n v="76"/>
    <x v="3"/>
    <x v="1"/>
  </r>
  <r>
    <s v="EMP0618"/>
    <x v="144"/>
    <x v="7"/>
    <n v="376505"/>
    <n v="30823"/>
    <n v="41416"/>
    <n v="15"/>
    <n v="113.39999999999999"/>
    <n v="0.8"/>
    <n v="0"/>
    <n v="0"/>
    <n v="64"/>
    <x v="0"/>
    <x v="2"/>
  </r>
  <r>
    <s v="EMP0619"/>
    <x v="40"/>
    <x v="8"/>
    <n v="676771"/>
    <n v="40330"/>
    <n v="74445"/>
    <n v="14"/>
    <n v="96.5"/>
    <n v="0.71428571428571397"/>
    <n v="0"/>
    <n v="0"/>
    <n v="85"/>
    <x v="0"/>
    <x v="3"/>
  </r>
  <r>
    <s v="EMP0620"/>
    <x v="328"/>
    <x v="7"/>
    <n v="368039"/>
    <n v="39222"/>
    <m/>
    <n v="15"/>
    <n v="120.5"/>
    <n v="0.86666666666666703"/>
    <n v="0"/>
    <n v="0"/>
    <n v="88"/>
    <x v="2"/>
    <x v="3"/>
  </r>
  <r>
    <s v="EMP0621"/>
    <x v="52"/>
    <x v="4"/>
    <n v="700274"/>
    <n v="64952"/>
    <n v="77030"/>
    <n v="15"/>
    <n v="112.2"/>
    <n v="0.8"/>
    <n v="6"/>
    <n v="1"/>
    <n v="56"/>
    <x v="1"/>
    <x v="2"/>
  </r>
  <r>
    <s v="EMP0622"/>
    <x v="86"/>
    <x v="1"/>
    <n v="460140"/>
    <n v="42370"/>
    <n v="50615"/>
    <n v="15"/>
    <n v="94.300000000000011"/>
    <n v="0.66666666666666696"/>
    <n v="0"/>
    <n v="0"/>
    <n v="76"/>
    <x v="2"/>
    <x v="1"/>
  </r>
  <r>
    <s v="EMP0623"/>
    <x v="296"/>
    <x v="8"/>
    <n v="458703"/>
    <n v="46327"/>
    <n v="50457"/>
    <n v="15"/>
    <n v="90.3"/>
    <n v="0.53333333333333299"/>
    <n v="6"/>
    <n v="1"/>
    <n v="70"/>
    <x v="2"/>
    <x v="1"/>
  </r>
  <r>
    <s v="EMP0624"/>
    <x v="278"/>
    <x v="4"/>
    <n v="763305"/>
    <n v="77561"/>
    <n v="83964"/>
    <n v="15"/>
    <n v="93.59999999999998"/>
    <n v="0.73333333333333295"/>
    <n v="13"/>
    <n v="1"/>
    <n v="56"/>
    <x v="2"/>
    <x v="2"/>
  </r>
  <r>
    <s v="EMP0625"/>
    <x v="177"/>
    <x v="4"/>
    <n v="319261"/>
    <n v="47202"/>
    <n v="35119"/>
    <n v="15"/>
    <n v="71"/>
    <n v="0.46666666666666701"/>
    <n v="0"/>
    <n v="0"/>
    <n v="71"/>
    <x v="2"/>
    <x v="1"/>
  </r>
  <r>
    <s v="EMP0626"/>
    <x v="329"/>
    <x v="6"/>
    <n v="576736"/>
    <n v="45988"/>
    <n v="63441"/>
    <n v="15"/>
    <n v="88.9"/>
    <n v="0.6"/>
    <n v="0"/>
    <n v="0"/>
    <n v="75"/>
    <x v="1"/>
    <x v="1"/>
  </r>
  <r>
    <s v="EMP0627"/>
    <x v="330"/>
    <x v="3"/>
    <n v="378637"/>
    <n v="51872"/>
    <n v="41650"/>
    <n v="15"/>
    <n v="103.5"/>
    <n v="0.6"/>
    <n v="0"/>
    <n v="0"/>
    <n v="85"/>
    <x v="1"/>
    <x v="3"/>
  </r>
  <r>
    <s v="EMP0628"/>
    <x v="146"/>
    <x v="5"/>
    <n v="795851"/>
    <n v="8377"/>
    <n v="87544"/>
    <n v="14"/>
    <n v="82.1"/>
    <n v="0.71428571428571397"/>
    <n v="0"/>
    <n v="0"/>
    <n v="66"/>
    <x v="1"/>
    <x v="2"/>
  </r>
  <r>
    <s v="EMP0629"/>
    <x v="166"/>
    <x v="1"/>
    <n v="429315"/>
    <n v="462"/>
    <n v="47225"/>
    <n v="15"/>
    <n v="104.10000000000001"/>
    <n v="0.73333333333333295"/>
    <n v="9"/>
    <n v="1"/>
    <n v="67"/>
    <x v="0"/>
    <x v="2"/>
  </r>
  <r>
    <s v="EMP0630"/>
    <x v="328"/>
    <x v="1"/>
    <n v="565352"/>
    <n v="84431"/>
    <n v="62189"/>
    <n v="15"/>
    <n v="94.59999999999998"/>
    <n v="0.6"/>
    <n v="7"/>
    <n v="1"/>
    <n v="92"/>
    <x v="2"/>
    <x v="0"/>
  </r>
  <r>
    <s v="EMP0631"/>
    <x v="331"/>
    <x v="1"/>
    <n v="231176"/>
    <n v="118"/>
    <n v="25429"/>
    <n v="15"/>
    <n v="109.6"/>
    <n v="0.8"/>
    <n v="0"/>
    <n v="0"/>
    <n v="59"/>
    <x v="1"/>
    <x v="2"/>
  </r>
  <r>
    <s v="EMP0632"/>
    <x v="207"/>
    <x v="7"/>
    <n v="226023"/>
    <n v="29546"/>
    <n v="24863"/>
    <n v="15"/>
    <n v="91.399999999999991"/>
    <n v="0.66666666666666696"/>
    <n v="0"/>
    <n v="0"/>
    <n v="89"/>
    <x v="2"/>
    <x v="3"/>
  </r>
  <r>
    <s v="EMP0633"/>
    <x v="64"/>
    <x v="1"/>
    <n v="273995"/>
    <n v="64734"/>
    <n v="30139"/>
    <n v="15"/>
    <n v="106.6"/>
    <n v="0.66666666666666696"/>
    <n v="4"/>
    <n v="1"/>
    <n v="58"/>
    <x v="4"/>
    <x v="2"/>
  </r>
  <r>
    <s v="EMP0634"/>
    <x v="332"/>
    <x v="7"/>
    <n v="272481"/>
    <n v="40052"/>
    <n v="29973"/>
    <n v="15"/>
    <n v="112.7"/>
    <n v="0.86666666666666703"/>
    <n v="0"/>
    <n v="0"/>
    <n v="67"/>
    <x v="2"/>
    <x v="2"/>
  </r>
  <r>
    <s v="EMP0635"/>
    <x v="34"/>
    <x v="0"/>
    <n v="635490"/>
    <n v="28045"/>
    <n v="69904"/>
    <n v="15"/>
    <n v="102.4"/>
    <n v="0.8"/>
    <n v="12"/>
    <n v="1"/>
    <n v="97"/>
    <x v="0"/>
    <x v="0"/>
  </r>
  <r>
    <s v="EMP0636"/>
    <x v="17"/>
    <x v="0"/>
    <n v="748433"/>
    <n v="17514"/>
    <n v="82328"/>
    <n v="15"/>
    <n v="88.2"/>
    <n v="0.73333333333333295"/>
    <n v="11"/>
    <n v="1"/>
    <n v="94"/>
    <x v="4"/>
    <x v="0"/>
  </r>
  <r>
    <s v="EMP0637"/>
    <x v="333"/>
    <x v="7"/>
    <n v="696396"/>
    <n v="14758"/>
    <n v="76604"/>
    <n v="15"/>
    <n v="97.4"/>
    <n v="0.73333333333333295"/>
    <n v="0"/>
    <n v="0"/>
    <n v="99"/>
    <x v="3"/>
    <x v="0"/>
  </r>
  <r>
    <s v="EMP0638"/>
    <x v="334"/>
    <x v="8"/>
    <n v="461453"/>
    <n v="47981"/>
    <n v="50760"/>
    <n v="15"/>
    <n v="105.3"/>
    <n v="0.8"/>
    <n v="12"/>
    <n v="1"/>
    <n v="93"/>
    <x v="2"/>
    <x v="0"/>
  </r>
  <r>
    <s v="EMP0639"/>
    <x v="85"/>
    <x v="9"/>
    <n v="569166"/>
    <n v="106"/>
    <n v="62608"/>
    <n v="15"/>
    <n v="115.39999999999999"/>
    <n v="0.86666666666666703"/>
    <n v="2"/>
    <n v="1"/>
    <n v="82"/>
    <x v="3"/>
    <x v="3"/>
  </r>
  <r>
    <s v="EMP0640"/>
    <x v="131"/>
    <x v="0"/>
    <n v="242577"/>
    <n v="15240"/>
    <n v="26683"/>
    <n v="15"/>
    <n v="121.29999999999997"/>
    <n v="0.93333333333333302"/>
    <n v="5"/>
    <n v="1"/>
    <n v="85"/>
    <x v="0"/>
    <x v="3"/>
  </r>
  <r>
    <s v="EMP0641"/>
    <x v="11"/>
    <x v="1"/>
    <n v="793417"/>
    <n v="53799"/>
    <n v="87276"/>
    <n v="15"/>
    <n v="102.80000000000001"/>
    <n v="0.8"/>
    <n v="18"/>
    <n v="2"/>
    <n v="81"/>
    <x v="0"/>
    <x v="3"/>
  </r>
  <r>
    <s v="EMP0642"/>
    <x v="119"/>
    <x v="3"/>
    <n v="797981"/>
    <n v="25218"/>
    <n v="87778"/>
    <n v="15"/>
    <n v="98"/>
    <n v="0.73333333333333295"/>
    <n v="0"/>
    <n v="0"/>
    <n v="71"/>
    <x v="0"/>
    <x v="1"/>
  </r>
  <r>
    <s v="EMP0643"/>
    <x v="146"/>
    <x v="6"/>
    <n v="316982"/>
    <n v="41411"/>
    <n v="34868"/>
    <n v="15"/>
    <n v="99.5"/>
    <n v="0.6"/>
    <n v="0"/>
    <n v="0"/>
    <n v="68"/>
    <x v="2"/>
    <x v="2"/>
  </r>
  <r>
    <s v="EMP0644"/>
    <x v="283"/>
    <x v="4"/>
    <n v="317923"/>
    <n v="70381"/>
    <n v="34972"/>
    <n v="15"/>
    <n v="115.20000000000002"/>
    <n v="0.73333333333333295"/>
    <n v="5"/>
    <n v="1"/>
    <n v="65"/>
    <x v="3"/>
    <x v="2"/>
  </r>
  <r>
    <s v="EMP0645"/>
    <x v="69"/>
    <x v="3"/>
    <n v="452046"/>
    <n v="28782"/>
    <n v="49725"/>
    <n v="14"/>
    <n v="107.19999999999999"/>
    <n v="0.85714285714285698"/>
    <n v="0"/>
    <n v="0"/>
    <n v="89"/>
    <x v="2"/>
    <x v="3"/>
  </r>
  <r>
    <s v="EMP0646"/>
    <x v="158"/>
    <x v="7"/>
    <n v="537785"/>
    <n v="19992"/>
    <n v="59156"/>
    <n v="14"/>
    <n v="88.799999999999983"/>
    <n v="0.5"/>
    <n v="10"/>
    <n v="1"/>
    <n v="89"/>
    <x v="3"/>
    <x v="3"/>
  </r>
  <r>
    <s v="EMP0647"/>
    <x v="200"/>
    <x v="1"/>
    <n v="276851"/>
    <n v="31051"/>
    <n v="30454"/>
    <n v="15"/>
    <n v="109.60000000000004"/>
    <n v="0.73333333333333295"/>
    <n v="0"/>
    <n v="0"/>
    <n v="78"/>
    <x v="1"/>
    <x v="1"/>
  </r>
  <r>
    <s v="EMP0648"/>
    <x v="1"/>
    <x v="6"/>
    <n v="585965"/>
    <n v="60753"/>
    <n v="64456"/>
    <n v="15"/>
    <n v="90"/>
    <n v="0.66666666666666696"/>
    <n v="0"/>
    <n v="0"/>
    <n v="77"/>
    <x v="0"/>
    <x v="1"/>
  </r>
  <r>
    <s v="EMP0649"/>
    <x v="335"/>
    <x v="7"/>
    <n v="673616"/>
    <n v="51609"/>
    <n v="74098"/>
    <n v="15"/>
    <n v="90.8"/>
    <n v="0.66666666666666696"/>
    <n v="0"/>
    <n v="0"/>
    <n v="80"/>
    <x v="2"/>
    <x v="3"/>
  </r>
  <r>
    <s v="EMP0650"/>
    <x v="142"/>
    <x v="2"/>
    <n v="621897"/>
    <n v="11934"/>
    <n v="68409"/>
    <n v="15"/>
    <n v="105.30000000000001"/>
    <n v="0.8"/>
    <n v="0"/>
    <n v="0"/>
    <n v="92"/>
    <x v="1"/>
    <x v="0"/>
  </r>
  <r>
    <s v="EMP0651"/>
    <x v="16"/>
    <x v="8"/>
    <n v="463995"/>
    <n v="22447"/>
    <n v="51039"/>
    <n v="15"/>
    <n v="103.6"/>
    <n v="0.66666666666666696"/>
    <n v="0"/>
    <n v="0"/>
    <n v="86"/>
    <x v="2"/>
    <x v="3"/>
  </r>
  <r>
    <s v="EMP0652"/>
    <x v="312"/>
    <x v="3"/>
    <n v="387771"/>
    <n v="53860"/>
    <n v="42655"/>
    <n v="15"/>
    <n v="104.6"/>
    <n v="0.66666666666666696"/>
    <n v="0"/>
    <n v="0"/>
    <n v="56"/>
    <x v="4"/>
    <x v="2"/>
  </r>
  <r>
    <s v="EMP0653"/>
    <x v="283"/>
    <x v="7"/>
    <n v="263910"/>
    <n v="20181"/>
    <n v="29030"/>
    <n v="15"/>
    <n v="104.10000000000001"/>
    <n v="0.73333333333333295"/>
    <n v="0"/>
    <n v="0"/>
    <n v="88"/>
    <x v="3"/>
    <x v="3"/>
  </r>
  <r>
    <s v="EMP0654"/>
    <x v="64"/>
    <x v="3"/>
    <n v="628673"/>
    <n v="28195"/>
    <n v="69154"/>
    <n v="15"/>
    <n v="105.19999999999999"/>
    <n v="0.6"/>
    <n v="0"/>
    <n v="0"/>
    <n v="89"/>
    <x v="1"/>
    <x v="3"/>
  </r>
  <r>
    <s v="EMP0655"/>
    <x v="72"/>
    <x v="9"/>
    <n v="448893"/>
    <n v="61116"/>
    <n v="49378"/>
    <n v="15"/>
    <n v="110.19999999999999"/>
    <n v="0.86666666666666703"/>
    <n v="8"/>
    <n v="1"/>
    <n v="95"/>
    <x v="2"/>
    <x v="0"/>
  </r>
  <r>
    <s v="EMP0656"/>
    <x v="255"/>
    <x v="8"/>
    <n v="565493"/>
    <n v="68492"/>
    <n v="62204"/>
    <n v="14"/>
    <n v="96.299999999999983"/>
    <n v="0.85714285714285698"/>
    <n v="7"/>
    <n v="1"/>
    <n v="100"/>
    <x v="4"/>
    <x v="0"/>
  </r>
  <r>
    <s v="EMP0657"/>
    <x v="119"/>
    <x v="0"/>
    <n v="584353"/>
    <n v="25585"/>
    <n v="64279"/>
    <n v="15"/>
    <n v="86.9"/>
    <n v="0.66666666666666696"/>
    <n v="0"/>
    <n v="0"/>
    <n v="70"/>
    <x v="4"/>
    <x v="1"/>
  </r>
  <r>
    <s v="EMP0658"/>
    <x v="62"/>
    <x v="3"/>
    <n v="473699"/>
    <n v="5607"/>
    <n v="52107"/>
    <n v="15"/>
    <n v="97.8"/>
    <n v="0.73333333333333295"/>
    <n v="13"/>
    <n v="1"/>
    <n v="66"/>
    <x v="3"/>
    <x v="2"/>
  </r>
  <r>
    <s v="EMP0659"/>
    <x v="204"/>
    <x v="6"/>
    <n v="748988"/>
    <n v="89584"/>
    <n v="82389"/>
    <n v="15"/>
    <n v="101.7"/>
    <n v="0.8"/>
    <n v="6"/>
    <n v="2"/>
    <n v="73"/>
    <x v="0"/>
    <x v="1"/>
  </r>
  <r>
    <s v="EMP0660"/>
    <x v="331"/>
    <x v="0"/>
    <n v="686807"/>
    <n v="10156"/>
    <n v="75549"/>
    <n v="15"/>
    <n v="96.2"/>
    <n v="0.73333333333333295"/>
    <n v="18"/>
    <n v="2"/>
    <n v="61"/>
    <x v="4"/>
    <x v="2"/>
  </r>
  <r>
    <s v="EMP0661"/>
    <x v="7"/>
    <x v="4"/>
    <n v="311822"/>
    <n v="42090"/>
    <n v="34300"/>
    <n v="15"/>
    <n v="99.9"/>
    <n v="0.66666666666666696"/>
    <n v="0"/>
    <n v="0"/>
    <n v="89"/>
    <x v="4"/>
    <x v="3"/>
  </r>
  <r>
    <s v="EMP0662"/>
    <x v="131"/>
    <x v="0"/>
    <n v="613521"/>
    <n v="31500"/>
    <n v="67487"/>
    <n v="15"/>
    <n v="116.3"/>
    <n v="0.66666666666666696"/>
    <n v="14"/>
    <n v="1"/>
    <n v="58"/>
    <x v="0"/>
    <x v="2"/>
  </r>
  <r>
    <s v="EMP0663"/>
    <x v="336"/>
    <x v="7"/>
    <n v="594074"/>
    <n v="60077"/>
    <n v="65348"/>
    <n v="15"/>
    <n v="102.89999999999999"/>
    <n v="0.73333333333333295"/>
    <n v="14"/>
    <n v="2"/>
    <n v="67"/>
    <x v="0"/>
    <x v="2"/>
  </r>
  <r>
    <s v="EMP0664"/>
    <x v="51"/>
    <x v="1"/>
    <n v="347691"/>
    <n v="15366"/>
    <n v="38246"/>
    <n v="15"/>
    <n v="115.19999999999999"/>
    <n v="0.8"/>
    <n v="17"/>
    <n v="2"/>
    <n v="61"/>
    <x v="3"/>
    <x v="2"/>
  </r>
  <r>
    <s v="EMP0665"/>
    <x v="22"/>
    <x v="9"/>
    <n v="392162"/>
    <n v="83447"/>
    <n v="43138"/>
    <n v="15"/>
    <n v="109.10000000000001"/>
    <n v="0.8"/>
    <n v="0"/>
    <n v="0"/>
    <n v="63"/>
    <x v="4"/>
    <x v="2"/>
  </r>
  <r>
    <s v="EMP0666"/>
    <x v="337"/>
    <x v="6"/>
    <n v="665341"/>
    <n v="42069"/>
    <n v="73188"/>
    <n v="15"/>
    <n v="106.30000000000001"/>
    <n v="0.86666666666666703"/>
    <n v="0"/>
    <n v="0"/>
    <n v="79"/>
    <x v="2"/>
    <x v="1"/>
  </r>
  <r>
    <s v="EMP0667"/>
    <x v="56"/>
    <x v="7"/>
    <n v="699604"/>
    <n v="65913"/>
    <n v="76956"/>
    <n v="15"/>
    <n v="114.29999999999998"/>
    <n v="0.8"/>
    <n v="0"/>
    <n v="0"/>
    <n v="63"/>
    <x v="1"/>
    <x v="2"/>
  </r>
  <r>
    <s v="EMP0668"/>
    <x v="93"/>
    <x v="1"/>
    <n v="834231"/>
    <n v="17966"/>
    <n v="91765"/>
    <n v="15"/>
    <n v="95.699999999999989"/>
    <n v="0.6"/>
    <n v="0"/>
    <n v="0"/>
    <n v="85"/>
    <x v="1"/>
    <x v="3"/>
  </r>
  <r>
    <s v="EMP0669"/>
    <x v="226"/>
    <x v="8"/>
    <n v="635669"/>
    <n v="59453"/>
    <n v="69924"/>
    <n v="15"/>
    <n v="95.7"/>
    <n v="0.66666666666666696"/>
    <n v="0"/>
    <n v="0"/>
    <n v="89"/>
    <x v="0"/>
    <x v="3"/>
  </r>
  <r>
    <s v="EMP0670"/>
    <x v="210"/>
    <x v="0"/>
    <n v="842358"/>
    <n v="73315"/>
    <n v="92659"/>
    <n v="15"/>
    <n v="112.4"/>
    <n v="0.8"/>
    <n v="0"/>
    <n v="0"/>
    <n v="86"/>
    <x v="4"/>
    <x v="3"/>
  </r>
  <r>
    <s v="EMP0671"/>
    <x v="338"/>
    <x v="7"/>
    <n v="754026"/>
    <n v="12749"/>
    <n v="82943"/>
    <n v="15"/>
    <n v="106.59999999999998"/>
    <n v="0.8"/>
    <n v="0"/>
    <n v="0"/>
    <n v="64"/>
    <x v="1"/>
    <x v="2"/>
  </r>
  <r>
    <s v="EMP0672"/>
    <x v="302"/>
    <x v="0"/>
    <n v="617757"/>
    <n v="38853"/>
    <n v="67953"/>
    <n v="15"/>
    <n v="88.100000000000023"/>
    <n v="0.73333333333333295"/>
    <n v="0"/>
    <n v="0"/>
    <n v="64"/>
    <x v="4"/>
    <x v="2"/>
  </r>
  <r>
    <s v="EMP0673"/>
    <x v="23"/>
    <x v="5"/>
    <n v="845965"/>
    <n v="6269"/>
    <n v="93056"/>
    <n v="15"/>
    <n v="81.800000000000011"/>
    <n v="0.66666666666666696"/>
    <n v="0"/>
    <n v="0"/>
    <n v="69"/>
    <x v="0"/>
    <x v="2"/>
  </r>
  <r>
    <s v="EMP0674"/>
    <x v="3"/>
    <x v="6"/>
    <n v="761648"/>
    <n v="87916"/>
    <n v="83781"/>
    <n v="15"/>
    <n v="96"/>
    <n v="0.8"/>
    <n v="0"/>
    <n v="0"/>
    <n v="56"/>
    <x v="1"/>
    <x v="2"/>
  </r>
  <r>
    <s v="EMP0675"/>
    <x v="12"/>
    <x v="9"/>
    <n v="534159"/>
    <n v="74574"/>
    <n v="58757"/>
    <n v="15"/>
    <n v="99.000000000000014"/>
    <n v="0.73333333333333295"/>
    <n v="0"/>
    <n v="0"/>
    <n v="81"/>
    <x v="0"/>
    <x v="3"/>
  </r>
  <r>
    <s v="EMP0676"/>
    <x v="339"/>
    <x v="9"/>
    <n v="743781"/>
    <n v="55053"/>
    <n v="81816"/>
    <n v="15"/>
    <n v="98.399999999999991"/>
    <n v="0.6"/>
    <n v="13"/>
    <n v="1"/>
    <n v="70"/>
    <x v="0"/>
    <x v="1"/>
  </r>
  <r>
    <s v="EMP0677"/>
    <x v="340"/>
    <x v="7"/>
    <n v="243174"/>
    <n v="16929"/>
    <n v="26749"/>
    <n v="15"/>
    <n v="117.49999999999999"/>
    <n v="0.8"/>
    <n v="0"/>
    <n v="0"/>
    <n v="64"/>
    <x v="0"/>
    <x v="2"/>
  </r>
  <r>
    <s v="EMP0678"/>
    <x v="329"/>
    <x v="3"/>
    <n v="766264"/>
    <n v="43857"/>
    <n v="84289"/>
    <n v="13"/>
    <n v="87.9"/>
    <n v="0.84615384615384603"/>
    <n v="19"/>
    <n v="2"/>
    <n v="94"/>
    <x v="0"/>
    <x v="0"/>
  </r>
  <r>
    <s v="EMP0679"/>
    <x v="341"/>
    <x v="1"/>
    <n v="399081"/>
    <n v="78667"/>
    <n v="43899"/>
    <n v="15"/>
    <n v="118.2"/>
    <n v="0.6"/>
    <n v="0"/>
    <n v="0"/>
    <n v="86"/>
    <x v="4"/>
    <x v="3"/>
  </r>
  <r>
    <s v="EMP0680"/>
    <x v="175"/>
    <x v="4"/>
    <n v="318469"/>
    <n v="53009"/>
    <n v="35032"/>
    <n v="15"/>
    <n v="103.00000000000001"/>
    <n v="0.73333333333333295"/>
    <n v="0"/>
    <n v="0"/>
    <n v="63"/>
    <x v="3"/>
    <x v="2"/>
  </r>
  <r>
    <s v="EMP0681"/>
    <x v="194"/>
    <x v="4"/>
    <n v="328903"/>
    <n v="18254"/>
    <n v="36179"/>
    <n v="15"/>
    <n v="107.60000000000001"/>
    <n v="0.8"/>
    <n v="0"/>
    <n v="0"/>
    <n v="59"/>
    <x v="2"/>
    <x v="2"/>
  </r>
  <r>
    <s v="EMP0682"/>
    <x v="2"/>
    <x v="6"/>
    <n v="477583"/>
    <n v="33279"/>
    <n v="52534"/>
    <n v="15"/>
    <n v="103.19999999999999"/>
    <n v="0.86666666666666703"/>
    <n v="0"/>
    <n v="0"/>
    <n v="59"/>
    <x v="3"/>
    <x v="2"/>
  </r>
  <r>
    <s v="EMP0683"/>
    <x v="61"/>
    <x v="8"/>
    <n v="469810"/>
    <n v="16981"/>
    <n v="51679"/>
    <n v="15"/>
    <n v="101.5"/>
    <n v="0.86666666666666703"/>
    <n v="4"/>
    <n v="1"/>
    <n v="85"/>
    <x v="2"/>
    <x v="3"/>
  </r>
  <r>
    <s v="EMP0684"/>
    <x v="342"/>
    <x v="2"/>
    <n v="318778"/>
    <n v="84686"/>
    <n v="35066"/>
    <n v="15"/>
    <n v="109.00000000000001"/>
    <n v="0.73333333333333295"/>
    <n v="17"/>
    <n v="2"/>
    <n v="56"/>
    <x v="4"/>
    <x v="2"/>
  </r>
  <r>
    <s v="EMP0685"/>
    <x v="137"/>
    <x v="7"/>
    <n v="618316"/>
    <n v="30845"/>
    <n v="68015"/>
    <n v="15"/>
    <n v="104.80000000000001"/>
    <n v="0.8"/>
    <n v="0"/>
    <n v="0"/>
    <n v="63"/>
    <x v="2"/>
    <x v="2"/>
  </r>
  <r>
    <s v="EMP0686"/>
    <x v="72"/>
    <x v="3"/>
    <n v="819967"/>
    <n v="38488"/>
    <n v="90196"/>
    <n v="15"/>
    <n v="111.29999999999998"/>
    <n v="0.73333333333333295"/>
    <n v="13"/>
    <n v="1"/>
    <n v="88"/>
    <x v="1"/>
    <x v="3"/>
  </r>
  <r>
    <s v="EMP0687"/>
    <x v="134"/>
    <x v="1"/>
    <n v="242042"/>
    <n v="69661"/>
    <n v="26625"/>
    <n v="15"/>
    <n v="95.8"/>
    <n v="0.66666666666666696"/>
    <n v="18"/>
    <n v="2"/>
    <n v="85"/>
    <x v="2"/>
    <x v="3"/>
  </r>
  <r>
    <s v="EMP0688"/>
    <x v="29"/>
    <x v="7"/>
    <n v="326385"/>
    <n v="51289"/>
    <n v="35902"/>
    <n v="15"/>
    <n v="102.50000000000001"/>
    <n v="0.66666666666666696"/>
    <n v="0"/>
    <n v="0"/>
    <n v="57"/>
    <x v="1"/>
    <x v="2"/>
  </r>
  <r>
    <s v="EMP0689"/>
    <x v="343"/>
    <x v="2"/>
    <n v="571168"/>
    <n v="21786"/>
    <m/>
    <n v="15"/>
    <n v="105.7"/>
    <n v="0.86666666666666703"/>
    <n v="18"/>
    <n v="2"/>
    <n v="96"/>
    <x v="2"/>
    <x v="0"/>
  </r>
  <r>
    <s v="EMP0690"/>
    <x v="169"/>
    <x v="6"/>
    <n v="360585"/>
    <n v="35731"/>
    <n v="39664"/>
    <n v="15"/>
    <n v="94.40000000000002"/>
    <n v="0.73333333333333295"/>
    <n v="0"/>
    <n v="0"/>
    <n v="86"/>
    <x v="1"/>
    <x v="3"/>
  </r>
  <r>
    <s v="EMP0691"/>
    <x v="243"/>
    <x v="7"/>
    <n v="712547"/>
    <n v="38889"/>
    <n v="78380"/>
    <n v="15"/>
    <n v="90.200000000000017"/>
    <n v="0.6"/>
    <n v="0"/>
    <n v="0"/>
    <n v="80"/>
    <x v="1"/>
    <x v="3"/>
  </r>
  <r>
    <s v="EMP0692"/>
    <x v="270"/>
    <x v="5"/>
    <n v="396032"/>
    <n v="45022"/>
    <n v="43564"/>
    <n v="15"/>
    <n v="90.9"/>
    <n v="0.66666666666666696"/>
    <n v="12"/>
    <n v="1"/>
    <n v="73"/>
    <x v="1"/>
    <x v="1"/>
  </r>
  <r>
    <s v="EMP0693"/>
    <x v="100"/>
    <x v="7"/>
    <n v="284081"/>
    <n v="71990"/>
    <n v="31249"/>
    <n v="15"/>
    <n v="101.49999999999999"/>
    <n v="0.6"/>
    <n v="0"/>
    <n v="0"/>
    <n v="96"/>
    <x v="3"/>
    <x v="0"/>
  </r>
  <r>
    <s v="EMP0694"/>
    <x v="325"/>
    <x v="4"/>
    <n v="779385"/>
    <n v="17500"/>
    <n v="85732"/>
    <n v="15"/>
    <n v="110.7"/>
    <n v="0.93333333333333302"/>
    <n v="4"/>
    <n v="1"/>
    <n v="71"/>
    <x v="4"/>
    <x v="1"/>
  </r>
  <r>
    <s v="EMP0695"/>
    <x v="33"/>
    <x v="0"/>
    <n v="359356"/>
    <n v="66107"/>
    <n v="39529"/>
    <n v="15"/>
    <n v="103.2"/>
    <n v="0.8"/>
    <n v="3"/>
    <n v="1"/>
    <n v="90"/>
    <x v="1"/>
    <x v="0"/>
  </r>
  <r>
    <s v="EMP0696"/>
    <x v="38"/>
    <x v="5"/>
    <n v="567447"/>
    <n v="87364"/>
    <m/>
    <n v="15"/>
    <n v="94.5"/>
    <n v="0.66666666666666696"/>
    <n v="9"/>
    <n v="1"/>
    <n v="77"/>
    <x v="3"/>
    <x v="1"/>
  </r>
  <r>
    <s v="EMP0697"/>
    <x v="141"/>
    <x v="1"/>
    <n v="463557"/>
    <n v="50249"/>
    <n v="50991"/>
    <n v="15"/>
    <n v="105.39999999999999"/>
    <n v="0.73333333333333295"/>
    <n v="11"/>
    <n v="1"/>
    <n v="86"/>
    <x v="1"/>
    <x v="3"/>
  </r>
  <r>
    <s v="EMP0698"/>
    <x v="156"/>
    <x v="3"/>
    <n v="395507"/>
    <n v="63572"/>
    <n v="43506"/>
    <n v="14"/>
    <n v="87.899999999999991"/>
    <n v="0.78571428571428603"/>
    <n v="0"/>
    <n v="0"/>
    <n v="56"/>
    <x v="3"/>
    <x v="2"/>
  </r>
  <r>
    <s v="EMP0699"/>
    <x v="124"/>
    <x v="10"/>
    <n v="284536"/>
    <n v="9692"/>
    <n v="31299"/>
    <n v="15"/>
    <n v="123.20000000000002"/>
    <n v="0.8"/>
    <n v="0"/>
    <n v="0"/>
    <n v="97"/>
    <x v="4"/>
    <x v="0"/>
  </r>
  <r>
    <s v="EMP0700"/>
    <x v="344"/>
    <x v="2"/>
    <n v="367512"/>
    <n v="76158"/>
    <n v="40426"/>
    <n v="14"/>
    <n v="89.899999999999991"/>
    <n v="0.64285714285714302"/>
    <n v="0"/>
    <n v="0"/>
    <n v="88"/>
    <x v="4"/>
    <x v="3"/>
  </r>
  <r>
    <s v="EMP0701"/>
    <x v="122"/>
    <x v="1"/>
    <n v="490181"/>
    <n v="82360"/>
    <n v="53920"/>
    <n v="15"/>
    <n v="89.8"/>
    <n v="0.6"/>
    <n v="6"/>
    <n v="1"/>
    <n v="0"/>
    <x v="3"/>
    <x v="4"/>
  </r>
  <r>
    <s v="EMP0702"/>
    <x v="345"/>
    <x v="0"/>
    <n v="805228"/>
    <n v="21471"/>
    <n v="88575"/>
    <n v="15"/>
    <n v="96.499999999999986"/>
    <n v="0.6"/>
    <n v="0"/>
    <n v="0"/>
    <n v="0"/>
    <x v="3"/>
    <x v="4"/>
  </r>
  <r>
    <s v="EMP0703"/>
    <x v="195"/>
    <x v="5"/>
    <n v="336819"/>
    <n v="32547"/>
    <n v="37050"/>
    <n v="15"/>
    <n v="95.200000000000017"/>
    <n v="0.66666666666666696"/>
    <n v="0"/>
    <n v="0"/>
    <n v="0"/>
    <x v="3"/>
    <x v="4"/>
  </r>
  <r>
    <s v="EMP0704"/>
    <x v="24"/>
    <x v="4"/>
    <n v="296795"/>
    <n v="8554"/>
    <n v="32647"/>
    <n v="15"/>
    <n v="118.6"/>
    <n v="0.93333333333333302"/>
    <n v="12"/>
    <n v="1"/>
    <n v="0"/>
    <x v="3"/>
    <x v="4"/>
  </r>
  <r>
    <s v="EMP0705"/>
    <x v="316"/>
    <x v="5"/>
    <n v="490782"/>
    <n v="64297"/>
    <n v="53986"/>
    <n v="15"/>
    <n v="117.4"/>
    <n v="0.93333333333333302"/>
    <n v="11"/>
    <n v="1"/>
    <n v="0"/>
    <x v="3"/>
    <x v="4"/>
  </r>
  <r>
    <s v="EMP0706"/>
    <x v="346"/>
    <x v="3"/>
    <n v="282318"/>
    <n v="48308"/>
    <n v="31055"/>
    <n v="15"/>
    <n v="110.9"/>
    <n v="0.66666666666666696"/>
    <n v="0"/>
    <n v="0"/>
    <n v="0"/>
    <x v="3"/>
    <x v="4"/>
  </r>
  <r>
    <s v="EMP0707"/>
    <x v="146"/>
    <x v="5"/>
    <n v="589242"/>
    <n v="57216"/>
    <n v="64817"/>
    <n v="15"/>
    <n v="112.80000000000001"/>
    <n v="0.86666666666666703"/>
    <n v="14"/>
    <n v="1"/>
    <n v="0"/>
    <x v="3"/>
    <x v="4"/>
  </r>
  <r>
    <s v="EMP0708"/>
    <x v="276"/>
    <x v="2"/>
    <n v="291568"/>
    <n v="65528"/>
    <n v="32072"/>
    <n v="15"/>
    <n v="97.7"/>
    <n v="0.73333333333333295"/>
    <n v="0"/>
    <n v="0"/>
    <n v="0"/>
    <x v="3"/>
    <x v="4"/>
  </r>
  <r>
    <s v="EMP0709"/>
    <x v="84"/>
    <x v="4"/>
    <n v="315016"/>
    <n v="504"/>
    <n v="34652"/>
    <n v="15"/>
    <n v="101.2"/>
    <n v="0.86666666666666703"/>
    <n v="0"/>
    <n v="0"/>
    <n v="0"/>
    <x v="3"/>
    <x v="4"/>
  </r>
  <r>
    <s v="EMP0710"/>
    <x v="253"/>
    <x v="5"/>
    <n v="271088"/>
    <n v="1241"/>
    <n v="29820"/>
    <n v="15"/>
    <n v="104.6"/>
    <n v="0.8"/>
    <n v="0"/>
    <n v="0"/>
    <n v="0"/>
    <x v="3"/>
    <x v="4"/>
  </r>
  <r>
    <s v="EMP0711"/>
    <x v="347"/>
    <x v="3"/>
    <n v="782210"/>
    <n v="83592"/>
    <m/>
    <n v="15"/>
    <n v="110.3"/>
    <n v="0.86666666666666703"/>
    <n v="0"/>
    <n v="0"/>
    <n v="0"/>
    <x v="3"/>
    <x v="4"/>
  </r>
  <r>
    <s v="EMP0712"/>
    <x v="59"/>
    <x v="2"/>
    <n v="736355"/>
    <n v="12457"/>
    <n v="80999"/>
    <n v="15"/>
    <n v="92.6"/>
    <n v="0.8"/>
    <n v="0"/>
    <n v="0"/>
    <n v="0"/>
    <x v="3"/>
    <x v="4"/>
  </r>
  <r>
    <s v="EMP0713"/>
    <x v="138"/>
    <x v="0"/>
    <n v="778030"/>
    <n v="50556"/>
    <n v="85583"/>
    <n v="15"/>
    <n v="93.4"/>
    <n v="0.6"/>
    <n v="0"/>
    <n v="0"/>
    <n v="0"/>
    <x v="3"/>
    <x v="4"/>
  </r>
  <r>
    <s v="EMP0714"/>
    <x v="232"/>
    <x v="8"/>
    <n v="739650"/>
    <n v="56370"/>
    <n v="81362"/>
    <n v="15"/>
    <n v="115.80000000000001"/>
    <n v="0.93333333333333302"/>
    <n v="8"/>
    <n v="1"/>
    <n v="0"/>
    <x v="3"/>
    <x v="4"/>
  </r>
  <r>
    <s v="EMP0715"/>
    <x v="194"/>
    <x v="3"/>
    <n v="240354"/>
    <n v="70344"/>
    <n v="26439"/>
    <n v="15"/>
    <n v="93"/>
    <n v="0.73333333333333295"/>
    <n v="11"/>
    <n v="2"/>
    <n v="0"/>
    <x v="3"/>
    <x v="4"/>
  </r>
  <r>
    <s v="EMP0716"/>
    <x v="348"/>
    <x v="0"/>
    <n v="675000"/>
    <n v="82498"/>
    <n v="74250"/>
    <n v="15"/>
    <n v="84.500000000000014"/>
    <n v="0.73333333333333295"/>
    <n v="0"/>
    <n v="0"/>
    <n v="0"/>
    <x v="3"/>
    <x v="4"/>
  </r>
  <r>
    <s v="EMP0717"/>
    <x v="193"/>
    <x v="5"/>
    <n v="534751"/>
    <n v="31194"/>
    <n v="58823"/>
    <n v="15"/>
    <n v="104.6"/>
    <n v="0.8"/>
    <n v="0"/>
    <n v="0"/>
    <n v="0"/>
    <x v="3"/>
    <x v="4"/>
  </r>
  <r>
    <s v="EMP0718"/>
    <x v="154"/>
    <x v="1"/>
    <n v="786795"/>
    <n v="30819"/>
    <n v="86547"/>
    <n v="15"/>
    <n v="114.20000000000002"/>
    <n v="0.86666666666666703"/>
    <n v="0"/>
    <n v="0"/>
    <n v="0"/>
    <x v="3"/>
    <x v="4"/>
  </r>
  <r>
    <s v="EMP0719"/>
    <x v="148"/>
    <x v="1"/>
    <n v="570262"/>
    <n v="23349"/>
    <n v="62729"/>
    <n v="15"/>
    <n v="107.4"/>
    <n v="0.86666666666666703"/>
    <n v="0"/>
    <n v="0"/>
    <n v="0"/>
    <x v="3"/>
    <x v="4"/>
  </r>
  <r>
    <s v="EMP0720"/>
    <x v="212"/>
    <x v="7"/>
    <n v="328925"/>
    <n v="18786"/>
    <n v="36182"/>
    <n v="15"/>
    <n v="87.3"/>
    <n v="0.73333333333333295"/>
    <n v="0"/>
    <n v="0"/>
    <n v="0"/>
    <x v="3"/>
    <x v="4"/>
  </r>
  <r>
    <s v="EMP0721"/>
    <x v="318"/>
    <x v="5"/>
    <n v="669903"/>
    <n v="56779"/>
    <n v="73689"/>
    <n v="15"/>
    <n v="91.5"/>
    <n v="0.6"/>
    <n v="12"/>
    <n v="2"/>
    <n v="0"/>
    <x v="3"/>
    <x v="4"/>
  </r>
  <r>
    <s v="EMP0722"/>
    <x v="52"/>
    <x v="0"/>
    <n v="407156"/>
    <n v="84350"/>
    <n v="44787"/>
    <n v="15"/>
    <n v="105.49999999999999"/>
    <n v="0.86666666666666703"/>
    <n v="10"/>
    <n v="1"/>
    <n v="0"/>
    <x v="3"/>
    <x v="4"/>
  </r>
  <r>
    <s v="EMP0723"/>
    <x v="110"/>
    <x v="4"/>
    <n v="513770"/>
    <n v="34029"/>
    <n v="56515"/>
    <n v="15"/>
    <n v="102.10000000000001"/>
    <n v="0.66666666666666696"/>
    <n v="0"/>
    <n v="0"/>
    <n v="0"/>
    <x v="3"/>
    <x v="4"/>
  </r>
  <r>
    <s v="EMP0724"/>
    <x v="68"/>
    <x v="1"/>
    <n v="472208"/>
    <n v="73991"/>
    <n v="51943"/>
    <n v="15"/>
    <n v="104.2"/>
    <n v="0.86666666666666703"/>
    <n v="0"/>
    <n v="0"/>
    <n v="0"/>
    <x v="3"/>
    <x v="4"/>
  </r>
  <r>
    <s v="EMP0725"/>
    <x v="269"/>
    <x v="2"/>
    <n v="671724"/>
    <n v="9716"/>
    <n v="73890"/>
    <n v="15"/>
    <n v="96.000000000000014"/>
    <n v="0.73333333333333295"/>
    <n v="25"/>
    <n v="3"/>
    <n v="0"/>
    <x v="3"/>
    <x v="4"/>
  </r>
  <r>
    <s v="EMP0726"/>
    <x v="82"/>
    <x v="4"/>
    <n v="516657"/>
    <n v="7256"/>
    <n v="56832"/>
    <n v="15"/>
    <n v="86.399999999999991"/>
    <n v="0.66666666666666696"/>
    <n v="16"/>
    <n v="2"/>
    <n v="0"/>
    <x v="3"/>
    <x v="4"/>
  </r>
  <r>
    <s v="EMP0727"/>
    <x v="9"/>
    <x v="4"/>
    <n v="812812"/>
    <n v="4436"/>
    <n v="89409"/>
    <n v="15"/>
    <n v="97"/>
    <n v="0.8"/>
    <n v="0"/>
    <n v="0"/>
    <n v="0"/>
    <x v="3"/>
    <x v="4"/>
  </r>
  <r>
    <s v="EMP0728"/>
    <x v="59"/>
    <x v="9"/>
    <n v="653746"/>
    <n v="29173"/>
    <n v="71912"/>
    <n v="15"/>
    <n v="121.3"/>
    <n v="0.86666666666666703"/>
    <n v="0"/>
    <n v="0"/>
    <n v="0"/>
    <x v="3"/>
    <x v="4"/>
  </r>
  <r>
    <s v="EMP0729"/>
    <x v="194"/>
    <x v="8"/>
    <n v="653080"/>
    <n v="64352"/>
    <n v="71839"/>
    <n v="15"/>
    <n v="96.399999999999991"/>
    <n v="0.73333333333333295"/>
    <n v="0"/>
    <n v="0"/>
    <n v="0"/>
    <x v="3"/>
    <x v="4"/>
  </r>
  <r>
    <s v="EMP0730"/>
    <x v="67"/>
    <x v="0"/>
    <n v="681886"/>
    <n v="82329"/>
    <n v="75007"/>
    <n v="15"/>
    <n v="94.3"/>
    <n v="0.6"/>
    <n v="0"/>
    <n v="0"/>
    <n v="0"/>
    <x v="3"/>
    <x v="4"/>
  </r>
  <r>
    <s v="EMP0731"/>
    <x v="223"/>
    <x v="3"/>
    <n v="708205"/>
    <n v="62991"/>
    <n v="77903"/>
    <n v="15"/>
    <n v="81.199999999999989"/>
    <n v="0.6"/>
    <n v="0"/>
    <n v="0"/>
    <n v="0"/>
    <x v="3"/>
    <x v="4"/>
  </r>
  <r>
    <s v="EMP0732"/>
    <x v="140"/>
    <x v="3"/>
    <n v="769377"/>
    <n v="77715"/>
    <n v="84631"/>
    <n v="15"/>
    <n v="83.4"/>
    <n v="0.6"/>
    <n v="0"/>
    <n v="0"/>
    <n v="0"/>
    <x v="3"/>
    <x v="4"/>
  </r>
  <r>
    <s v="EMP0733"/>
    <x v="33"/>
    <x v="5"/>
    <n v="612009"/>
    <n v="88676"/>
    <n v="67321"/>
    <n v="15"/>
    <n v="117.00000000000001"/>
    <n v="0.93333333333333302"/>
    <n v="0"/>
    <n v="0"/>
    <n v="0"/>
    <x v="3"/>
    <x v="4"/>
  </r>
  <r>
    <s v="EMP0734"/>
    <x v="106"/>
    <x v="7"/>
    <n v="610287"/>
    <n v="83664"/>
    <n v="67132"/>
    <n v="15"/>
    <n v="95"/>
    <n v="0.73333333333333295"/>
    <n v="0"/>
    <n v="0"/>
    <n v="0"/>
    <x v="3"/>
    <x v="4"/>
  </r>
  <r>
    <s v="EMP0735"/>
    <x v="286"/>
    <x v="8"/>
    <n v="425925"/>
    <n v="35639"/>
    <n v="46852"/>
    <n v="15"/>
    <n v="71.8"/>
    <n v="0.53333333333333299"/>
    <n v="0"/>
    <n v="0"/>
    <n v="0"/>
    <x v="3"/>
    <x v="4"/>
  </r>
  <r>
    <s v="EMP0736"/>
    <x v="305"/>
    <x v="1"/>
    <n v="819645"/>
    <n v="72799"/>
    <n v="90161"/>
    <n v="15"/>
    <n v="105.60000000000001"/>
    <n v="0.86666666666666703"/>
    <n v="0"/>
    <n v="0"/>
    <n v="0"/>
    <x v="3"/>
    <x v="4"/>
  </r>
  <r>
    <s v="EMP0737"/>
    <x v="327"/>
    <x v="8"/>
    <n v="541029"/>
    <n v="36749"/>
    <n v="59513"/>
    <n v="15"/>
    <n v="103.00000000000001"/>
    <n v="0.66666666666666696"/>
    <n v="0"/>
    <n v="0"/>
    <n v="0"/>
    <x v="3"/>
    <x v="4"/>
  </r>
  <r>
    <s v="EMP0738"/>
    <x v="225"/>
    <x v="3"/>
    <n v="309918"/>
    <n v="72110"/>
    <n v="34091"/>
    <n v="15"/>
    <n v="102.89999999999999"/>
    <n v="0.66666666666666696"/>
    <n v="6"/>
    <n v="1"/>
    <n v="0"/>
    <x v="3"/>
    <x v="4"/>
  </r>
  <r>
    <s v="EMP0739"/>
    <x v="196"/>
    <x v="2"/>
    <n v="504428"/>
    <n v="18980"/>
    <n v="55487"/>
    <n v="15"/>
    <n v="74.2"/>
    <n v="0.53333333333333299"/>
    <n v="3"/>
    <n v="1"/>
    <n v="0"/>
    <x v="3"/>
    <x v="4"/>
  </r>
  <r>
    <s v="EMP0740"/>
    <x v="228"/>
    <x v="3"/>
    <n v="782877"/>
    <n v="35325"/>
    <n v="86116"/>
    <n v="15"/>
    <n v="87.699999999999989"/>
    <n v="0.73333333333333295"/>
    <n v="0"/>
    <n v="0"/>
    <n v="0"/>
    <x v="3"/>
    <x v="4"/>
  </r>
  <r>
    <s v="EMP0741"/>
    <x v="31"/>
    <x v="5"/>
    <n v="823899"/>
    <n v="10978"/>
    <n v="90629"/>
    <n v="15"/>
    <n v="87.8"/>
    <n v="0.46666666666666701"/>
    <n v="24"/>
    <n v="2"/>
    <n v="0"/>
    <x v="3"/>
    <x v="4"/>
  </r>
  <r>
    <s v="EMP0742"/>
    <x v="134"/>
    <x v="10"/>
    <n v="251924"/>
    <n v="44817"/>
    <n v="27712"/>
    <n v="15"/>
    <n v="111"/>
    <n v="0.86666666666666703"/>
    <n v="11"/>
    <n v="1"/>
    <n v="0"/>
    <x v="3"/>
    <x v="4"/>
  </r>
  <r>
    <s v="EMP0743"/>
    <x v="109"/>
    <x v="6"/>
    <n v="339799"/>
    <n v="60152"/>
    <n v="37378"/>
    <n v="15"/>
    <n v="124.39999999999999"/>
    <n v="0.8"/>
    <n v="0"/>
    <n v="0"/>
    <n v="0"/>
    <x v="3"/>
    <x v="4"/>
  </r>
  <r>
    <s v="EMP0744"/>
    <x v="44"/>
    <x v="0"/>
    <n v="306557"/>
    <n v="22655"/>
    <n v="33721"/>
    <n v="15"/>
    <n v="98.899999999999991"/>
    <n v="0.6"/>
    <n v="0"/>
    <n v="0"/>
    <n v="0"/>
    <x v="3"/>
    <x v="4"/>
  </r>
  <r>
    <s v="EMP0745"/>
    <x v="349"/>
    <x v="6"/>
    <n v="555319"/>
    <n v="76491"/>
    <n v="61085"/>
    <n v="15"/>
    <n v="121.69999999999997"/>
    <n v="0.86666666666666703"/>
    <n v="17"/>
    <n v="2"/>
    <n v="0"/>
    <x v="3"/>
    <x v="4"/>
  </r>
  <r>
    <s v="EMP0746"/>
    <x v="271"/>
    <x v="6"/>
    <n v="792805"/>
    <n v="28849"/>
    <n v="87209"/>
    <n v="15"/>
    <n v="109.40000000000002"/>
    <n v="0.8"/>
    <n v="0"/>
    <n v="0"/>
    <n v="0"/>
    <x v="3"/>
    <x v="4"/>
  </r>
  <r>
    <s v="EMP0747"/>
    <x v="308"/>
    <x v="8"/>
    <n v="627628"/>
    <n v="2080"/>
    <n v="69039"/>
    <n v="15"/>
    <n v="80.599999999999994"/>
    <n v="0.6"/>
    <n v="0"/>
    <n v="0"/>
    <n v="0"/>
    <x v="3"/>
    <x v="4"/>
  </r>
  <r>
    <s v="EMP0748"/>
    <x v="125"/>
    <x v="3"/>
    <n v="528718"/>
    <n v="27424"/>
    <n v="58159"/>
    <n v="15"/>
    <n v="107.2"/>
    <n v="0.66666666666666696"/>
    <n v="0"/>
    <n v="0"/>
    <n v="0"/>
    <x v="3"/>
    <x v="4"/>
  </r>
  <r>
    <s v="EMP0749"/>
    <x v="309"/>
    <x v="2"/>
    <n v="520600"/>
    <n v="64959"/>
    <n v="57266"/>
    <n v="15"/>
    <n v="88.3"/>
    <n v="0.6"/>
    <n v="0"/>
    <n v="0"/>
    <n v="0"/>
    <x v="3"/>
    <x v="4"/>
  </r>
  <r>
    <s v="EMP0750"/>
    <x v="114"/>
    <x v="5"/>
    <n v="254279"/>
    <n v="15461"/>
    <n v="27971"/>
    <n v="15"/>
    <n v="114.8"/>
    <n v="0.8"/>
    <n v="8"/>
    <n v="1"/>
    <n v="0"/>
    <x v="3"/>
    <x v="4"/>
  </r>
  <r>
    <s v="EMP0751"/>
    <x v="199"/>
    <x v="9"/>
    <n v="271507"/>
    <n v="9373"/>
    <n v="29866"/>
    <n v="15"/>
    <n v="82.100000000000009"/>
    <n v="0.66666666666666696"/>
    <n v="11"/>
    <n v="1"/>
    <n v="0"/>
    <x v="3"/>
    <x v="4"/>
  </r>
  <r>
    <s v="EMP0752"/>
    <x v="124"/>
    <x v="7"/>
    <n v="772045"/>
    <n v="76454"/>
    <n v="84925"/>
    <n v="15"/>
    <n v="123.10000000000001"/>
    <n v="0.93333333333333302"/>
    <n v="0"/>
    <n v="0"/>
    <n v="0"/>
    <x v="3"/>
    <x v="4"/>
  </r>
  <r>
    <s v="EMP0753"/>
    <x v="136"/>
    <x v="0"/>
    <n v="268633"/>
    <n v="84774"/>
    <n v="29550"/>
    <n v="15"/>
    <n v="105.49999999999999"/>
    <n v="0.73333333333333295"/>
    <n v="16"/>
    <n v="2"/>
    <n v="0"/>
    <x v="3"/>
    <x v="4"/>
  </r>
  <r>
    <s v="EMP0754"/>
    <x v="9"/>
    <x v="9"/>
    <n v="775726"/>
    <n v="35362"/>
    <n v="85330"/>
    <n v="15"/>
    <n v="112.5"/>
    <n v="0.66666666666666696"/>
    <n v="0"/>
    <n v="0"/>
    <n v="0"/>
    <x v="3"/>
    <x v="4"/>
  </r>
  <r>
    <s v="EMP0755"/>
    <x v="350"/>
    <x v="0"/>
    <n v="775439"/>
    <n v="12695"/>
    <n v="85298"/>
    <n v="14"/>
    <n v="86.7"/>
    <n v="0.71428571428571397"/>
    <n v="0"/>
    <n v="0"/>
    <n v="0"/>
    <x v="3"/>
    <x v="4"/>
  </r>
  <r>
    <s v="EMP0756"/>
    <x v="14"/>
    <x v="4"/>
    <n v="794535"/>
    <n v="62343"/>
    <n v="87399"/>
    <n v="15"/>
    <n v="105.30000000000001"/>
    <n v="0.73333333333333295"/>
    <n v="0"/>
    <n v="0"/>
    <n v="0"/>
    <x v="3"/>
    <x v="4"/>
  </r>
  <r>
    <s v="EMP0757"/>
    <x v="66"/>
    <x v="1"/>
    <n v="393977"/>
    <n v="20000"/>
    <n v="43337"/>
    <n v="15"/>
    <n v="108.79999999999998"/>
    <n v="0.8"/>
    <n v="0"/>
    <n v="0"/>
    <n v="0"/>
    <x v="3"/>
    <x v="4"/>
  </r>
  <r>
    <s v="EMP0758"/>
    <x v="142"/>
    <x v="1"/>
    <n v="456210"/>
    <n v="41437"/>
    <n v="50183"/>
    <n v="15"/>
    <n v="122.69999999999999"/>
    <n v="0.8"/>
    <n v="0"/>
    <n v="0"/>
    <n v="0"/>
    <x v="3"/>
    <x v="4"/>
  </r>
  <r>
    <s v="EMP0759"/>
    <x v="127"/>
    <x v="3"/>
    <n v="732236"/>
    <n v="67078"/>
    <n v="80546"/>
    <n v="15"/>
    <n v="112.19999999999999"/>
    <n v="0.93333333333333302"/>
    <n v="4"/>
    <n v="1"/>
    <n v="0"/>
    <x v="3"/>
    <x v="4"/>
  </r>
  <r>
    <s v="EMP0760"/>
    <x v="280"/>
    <x v="6"/>
    <n v="699216"/>
    <n v="77153"/>
    <n v="76914"/>
    <n v="15"/>
    <n v="88.9"/>
    <n v="0.66666666666666696"/>
    <n v="18"/>
    <n v="2"/>
    <n v="0"/>
    <x v="3"/>
    <x v="4"/>
  </r>
  <r>
    <s v="EMP0761"/>
    <x v="331"/>
    <x v="9"/>
    <n v="790015"/>
    <n v="11790"/>
    <n v="86902"/>
    <n v="15"/>
    <n v="104.60000000000001"/>
    <n v="0.8"/>
    <n v="0"/>
    <n v="0"/>
    <n v="0"/>
    <x v="3"/>
    <x v="4"/>
  </r>
  <r>
    <s v="EMP0762"/>
    <x v="349"/>
    <x v="3"/>
    <n v="425687"/>
    <n v="24451"/>
    <n v="46826"/>
    <n v="15"/>
    <n v="101.80000000000001"/>
    <n v="0.53333333333333299"/>
    <n v="11"/>
    <n v="1"/>
    <n v="0"/>
    <x v="3"/>
    <x v="4"/>
  </r>
  <r>
    <s v="EMP0763"/>
    <x v="246"/>
    <x v="6"/>
    <n v="648839"/>
    <n v="59001"/>
    <n v="71372"/>
    <n v="15"/>
    <n v="109.99999999999999"/>
    <n v="0.73333333333333295"/>
    <n v="3"/>
    <n v="1"/>
    <n v="0"/>
    <x v="3"/>
    <x v="4"/>
  </r>
  <r>
    <s v="EMP0764"/>
    <x v="59"/>
    <x v="8"/>
    <n v="783480"/>
    <n v="44334"/>
    <n v="86183"/>
    <n v="15"/>
    <n v="121.80000000000001"/>
    <n v="0.73333333333333295"/>
    <n v="0"/>
    <n v="0"/>
    <n v="0"/>
    <x v="3"/>
    <x v="4"/>
  </r>
  <r>
    <s v="EMP0765"/>
    <x v="275"/>
    <x v="3"/>
    <n v="221642"/>
    <n v="32226"/>
    <n v="24381"/>
    <n v="14"/>
    <n v="100.10000000000001"/>
    <n v="0.85714285714285698"/>
    <n v="14"/>
    <n v="1"/>
    <n v="0"/>
    <x v="3"/>
    <x v="4"/>
  </r>
  <r>
    <s v="EMP0766"/>
    <x v="13"/>
    <x v="7"/>
    <n v="486248"/>
    <n v="78712"/>
    <n v="53487"/>
    <n v="15"/>
    <n v="101.1"/>
    <n v="0.86666666666666703"/>
    <n v="8"/>
    <n v="1"/>
    <n v="0"/>
    <x v="3"/>
    <x v="4"/>
  </r>
  <r>
    <s v="EMP0767"/>
    <x v="43"/>
    <x v="0"/>
    <n v="527113"/>
    <n v="79205"/>
    <n v="57982"/>
    <n v="15"/>
    <n v="112.6"/>
    <n v="0.93333333333333302"/>
    <n v="0"/>
    <n v="0"/>
    <n v="0"/>
    <x v="3"/>
    <x v="4"/>
  </r>
  <r>
    <s v="EMP0768"/>
    <x v="71"/>
    <x v="3"/>
    <n v="542712"/>
    <n v="52059"/>
    <n v="59698"/>
    <n v="15"/>
    <n v="103.19999999999999"/>
    <n v="0.8"/>
    <n v="14"/>
    <n v="1"/>
    <n v="0"/>
    <x v="3"/>
    <x v="4"/>
  </r>
  <r>
    <s v="EMP0769"/>
    <x v="250"/>
    <x v="3"/>
    <n v="221477"/>
    <n v="8094"/>
    <n v="24362"/>
    <n v="15"/>
    <n v="102.49999999999999"/>
    <n v="0.8"/>
    <n v="0"/>
    <n v="0"/>
    <n v="0"/>
    <x v="3"/>
    <x v="4"/>
  </r>
  <r>
    <s v="EMP0770"/>
    <x v="159"/>
    <x v="6"/>
    <n v="435909"/>
    <n v="75297"/>
    <n v="47950"/>
    <n v="15"/>
    <n v="76.399999999999991"/>
    <n v="0.66666666666666696"/>
    <n v="17"/>
    <n v="3"/>
    <n v="0"/>
    <x v="3"/>
    <x v="4"/>
  </r>
  <r>
    <s v="EMP0771"/>
    <x v="59"/>
    <x v="10"/>
    <n v="353842"/>
    <n v="33359"/>
    <n v="38923"/>
    <n v="15"/>
    <n v="103.49999999999997"/>
    <n v="0.73333333333333295"/>
    <n v="8"/>
    <n v="1"/>
    <n v="0"/>
    <x v="3"/>
    <x v="4"/>
  </r>
  <r>
    <s v="EMP0772"/>
    <x v="221"/>
    <x v="9"/>
    <n v="311672"/>
    <n v="61963"/>
    <n v="34284"/>
    <n v="15"/>
    <n v="103.3"/>
    <n v="0.73333333333333295"/>
    <n v="0"/>
    <n v="0"/>
    <n v="0"/>
    <x v="3"/>
    <x v="4"/>
  </r>
  <r>
    <s v="EMP0773"/>
    <x v="24"/>
    <x v="0"/>
    <n v="633237"/>
    <n v="73015"/>
    <n v="69656"/>
    <n v="15"/>
    <n v="105.5"/>
    <n v="0.66666666666666696"/>
    <n v="0"/>
    <n v="0"/>
    <n v="0"/>
    <x v="3"/>
    <x v="4"/>
  </r>
  <r>
    <s v="EMP0774"/>
    <x v="32"/>
    <x v="8"/>
    <n v="554076"/>
    <n v="369"/>
    <n v="60948"/>
    <n v="15"/>
    <n v="108.8"/>
    <n v="0.73333333333333295"/>
    <n v="0"/>
    <n v="0"/>
    <n v="0"/>
    <x v="3"/>
    <x v="4"/>
  </r>
  <r>
    <s v="EMP0775"/>
    <x v="351"/>
    <x v="5"/>
    <n v="508203"/>
    <n v="3171"/>
    <n v="55902"/>
    <n v="15"/>
    <n v="98.499999999999986"/>
    <n v="0.73333333333333295"/>
    <n v="14"/>
    <n v="1"/>
    <n v="0"/>
    <x v="3"/>
    <x v="4"/>
  </r>
  <r>
    <s v="EMP0776"/>
    <x v="28"/>
    <x v="2"/>
    <n v="347883"/>
    <n v="79991"/>
    <m/>
    <n v="15"/>
    <n v="103.99999999999999"/>
    <n v="0.73333333333333295"/>
    <n v="11"/>
    <n v="2"/>
    <n v="0"/>
    <x v="3"/>
    <x v="4"/>
  </r>
  <r>
    <s v="EMP0777"/>
    <x v="352"/>
    <x v="2"/>
    <n v="571841"/>
    <n v="63394"/>
    <n v="62903"/>
    <n v="15"/>
    <n v="114.20000000000002"/>
    <n v="0.8"/>
    <n v="13"/>
    <n v="1"/>
    <n v="0"/>
    <x v="3"/>
    <x v="4"/>
  </r>
  <r>
    <s v="EMP0778"/>
    <x v="309"/>
    <x v="4"/>
    <n v="395081"/>
    <n v="56341"/>
    <n v="43459"/>
    <n v="15"/>
    <n v="101.00000000000001"/>
    <n v="0.73333333333333295"/>
    <n v="0"/>
    <n v="0"/>
    <n v="0"/>
    <x v="3"/>
    <x v="4"/>
  </r>
  <r>
    <s v="EMP0779"/>
    <x v="314"/>
    <x v="6"/>
    <n v="221427"/>
    <n v="48395"/>
    <n v="24357"/>
    <n v="15"/>
    <n v="102.5"/>
    <n v="0.73333333333333295"/>
    <n v="0"/>
    <n v="0"/>
    <n v="0"/>
    <x v="3"/>
    <x v="4"/>
  </r>
  <r>
    <s v="EMP0780"/>
    <x v="146"/>
    <x v="1"/>
    <n v="221588"/>
    <n v="73174"/>
    <n v="24375"/>
    <n v="15"/>
    <n v="95.399999999999991"/>
    <n v="0.66666666666666696"/>
    <n v="0"/>
    <n v="0"/>
    <n v="0"/>
    <x v="3"/>
    <x v="4"/>
  </r>
  <r>
    <s v="EMP0781"/>
    <x v="179"/>
    <x v="3"/>
    <n v="811084"/>
    <n v="54767"/>
    <n v="89219"/>
    <n v="14"/>
    <n v="98.399999999999991"/>
    <n v="0.78571428571428603"/>
    <n v="0"/>
    <n v="0"/>
    <n v="0"/>
    <x v="3"/>
    <x v="4"/>
  </r>
  <r>
    <s v="EMP0782"/>
    <x v="353"/>
    <x v="0"/>
    <n v="674793"/>
    <n v="3244"/>
    <n v="74227"/>
    <n v="15"/>
    <n v="96.5"/>
    <n v="0.8"/>
    <n v="0"/>
    <n v="0"/>
    <n v="0"/>
    <x v="3"/>
    <x v="4"/>
  </r>
  <r>
    <s v="EMP0783"/>
    <x v="259"/>
    <x v="5"/>
    <n v="371403"/>
    <n v="62438"/>
    <n v="40854"/>
    <n v="15"/>
    <n v="104.8"/>
    <n v="0.86666666666666703"/>
    <n v="0"/>
    <n v="0"/>
    <n v="0"/>
    <x v="3"/>
    <x v="4"/>
  </r>
  <r>
    <s v="EMP0784"/>
    <x v="306"/>
    <x v="2"/>
    <n v="349097"/>
    <n v="58122"/>
    <n v="38401"/>
    <n v="15"/>
    <n v="118.8"/>
    <n v="0.73333333333333295"/>
    <n v="0"/>
    <n v="0"/>
    <n v="0"/>
    <x v="3"/>
    <x v="4"/>
  </r>
  <r>
    <s v="EMP0785"/>
    <x v="286"/>
    <x v="6"/>
    <n v="395001"/>
    <n v="38331"/>
    <n v="43450"/>
    <n v="15"/>
    <n v="79.699999999999989"/>
    <n v="0.53333333333333299"/>
    <n v="0"/>
    <n v="0"/>
    <n v="0"/>
    <x v="3"/>
    <x v="4"/>
  </r>
  <r>
    <s v="EMP0786"/>
    <x v="240"/>
    <x v="0"/>
    <n v="291485"/>
    <n v="79016"/>
    <n v="32063"/>
    <n v="15"/>
    <n v="88.199999999999989"/>
    <n v="0.66666666666666696"/>
    <n v="0"/>
    <n v="0"/>
    <n v="0"/>
    <x v="3"/>
    <x v="4"/>
  </r>
  <r>
    <s v="EMP0787"/>
    <x v="272"/>
    <x v="3"/>
    <n v="804937"/>
    <n v="28721"/>
    <n v="88543"/>
    <n v="15"/>
    <n v="104.9"/>
    <n v="0.73333333333333295"/>
    <n v="0"/>
    <n v="0"/>
    <n v="0"/>
    <x v="3"/>
    <x v="4"/>
  </r>
  <r>
    <s v="EMP0788"/>
    <x v="354"/>
    <x v="3"/>
    <n v="301137"/>
    <n v="52858"/>
    <n v="33125"/>
    <n v="15"/>
    <n v="120.59999999999998"/>
    <n v="0.93333333333333302"/>
    <n v="0"/>
    <n v="0"/>
    <n v="0"/>
    <x v="3"/>
    <x v="4"/>
  </r>
  <r>
    <s v="EMP0789"/>
    <x v="161"/>
    <x v="7"/>
    <n v="725152"/>
    <n v="68615"/>
    <n v="79767"/>
    <n v="15"/>
    <n v="95.999999999999986"/>
    <n v="0.73333333333333295"/>
    <n v="0"/>
    <n v="0"/>
    <n v="0"/>
    <x v="3"/>
    <x v="4"/>
  </r>
  <r>
    <s v="EMP0790"/>
    <x v="341"/>
    <x v="4"/>
    <n v="358833"/>
    <n v="6691"/>
    <n v="39472"/>
    <n v="15"/>
    <n v="98.7"/>
    <n v="0.73333333333333295"/>
    <n v="0"/>
    <n v="0"/>
    <n v="0"/>
    <x v="3"/>
    <x v="4"/>
  </r>
  <r>
    <s v="EMP0791"/>
    <x v="29"/>
    <x v="2"/>
    <n v="675436"/>
    <n v="14633"/>
    <n v="74298"/>
    <n v="15"/>
    <n v="87.899999999999991"/>
    <n v="0.53333333333333299"/>
    <n v="0"/>
    <n v="0"/>
    <n v="0"/>
    <x v="3"/>
    <x v="4"/>
  </r>
  <r>
    <s v="EMP0792"/>
    <x v="139"/>
    <x v="1"/>
    <n v="440380"/>
    <n v="77408"/>
    <n v="48442"/>
    <n v="15"/>
    <n v="112.5"/>
    <n v="0.66666666666666696"/>
    <n v="0"/>
    <n v="0"/>
    <n v="0"/>
    <x v="3"/>
    <x v="4"/>
  </r>
  <r>
    <s v="EMP0793"/>
    <x v="355"/>
    <x v="9"/>
    <n v="805708"/>
    <n v="80327"/>
    <n v="88628"/>
    <n v="15"/>
    <n v="79.699999999999989"/>
    <n v="0.6"/>
    <n v="0"/>
    <n v="0"/>
    <n v="0"/>
    <x v="3"/>
    <x v="4"/>
  </r>
  <r>
    <s v="EMP0794"/>
    <x v="202"/>
    <x v="4"/>
    <n v="667719"/>
    <n v="52106"/>
    <n v="73449"/>
    <n v="15"/>
    <n v="105.5"/>
    <n v="0.86666666666666703"/>
    <n v="0"/>
    <n v="0"/>
    <n v="0"/>
    <x v="3"/>
    <x v="4"/>
  </r>
  <r>
    <s v="EMP0795"/>
    <x v="356"/>
    <x v="4"/>
    <n v="417870"/>
    <n v="82654"/>
    <n v="45966"/>
    <n v="15"/>
    <n v="106.5"/>
    <n v="0.66666666666666696"/>
    <n v="0"/>
    <n v="0"/>
    <n v="0"/>
    <x v="3"/>
    <x v="4"/>
  </r>
  <r>
    <s v="EMP0796"/>
    <x v="129"/>
    <x v="7"/>
    <n v="242271"/>
    <n v="6647"/>
    <n v="26650"/>
    <n v="15"/>
    <n v="104.19999999999999"/>
    <n v="0.8"/>
    <n v="23"/>
    <n v="2"/>
    <n v="0"/>
    <x v="3"/>
    <x v="4"/>
  </r>
  <r>
    <s v="EMP0797"/>
    <x v="49"/>
    <x v="5"/>
    <n v="299014"/>
    <n v="43493"/>
    <n v="32892"/>
    <n v="14"/>
    <n v="104.49999999999999"/>
    <n v="0.78571428571428603"/>
    <n v="2"/>
    <n v="1"/>
    <n v="0"/>
    <x v="3"/>
    <x v="4"/>
  </r>
  <r>
    <s v="EMP0798"/>
    <x v="285"/>
    <x v="2"/>
    <n v="772591"/>
    <n v="66006"/>
    <n v="84985"/>
    <n v="15"/>
    <n v="100.49999999999999"/>
    <n v="0.8"/>
    <n v="0"/>
    <n v="0"/>
    <n v="0"/>
    <x v="3"/>
    <x v="4"/>
  </r>
  <r>
    <s v="EMP0799"/>
    <x v="357"/>
    <x v="0"/>
    <n v="458122"/>
    <n v="47533"/>
    <n v="50393"/>
    <n v="15"/>
    <n v="97.699999999999989"/>
    <n v="0.66666666666666696"/>
    <n v="0"/>
    <n v="0"/>
    <n v="0"/>
    <x v="3"/>
    <x v="4"/>
  </r>
  <r>
    <s v="EMP0800"/>
    <x v="358"/>
    <x v="7"/>
    <n v="466801"/>
    <n v="10748"/>
    <n v="51348"/>
    <n v="15"/>
    <n v="87.9"/>
    <n v="0.66666666666666696"/>
    <n v="0"/>
    <n v="0"/>
    <n v="0"/>
    <x v="3"/>
    <x v="4"/>
  </r>
  <r>
    <s v="EMP0801"/>
    <x v="167"/>
    <x v="10"/>
    <n v="662174"/>
    <n v="60933"/>
    <n v="72839"/>
    <n v="15"/>
    <n v="105.8"/>
    <n v="0.66666666666666696"/>
    <n v="6"/>
    <n v="1"/>
    <n v="0"/>
    <x v="3"/>
    <x v="4"/>
  </r>
  <r>
    <s v="EMP0802"/>
    <x v="57"/>
    <x v="2"/>
    <n v="419841"/>
    <n v="72412"/>
    <n v="46183"/>
    <n v="15"/>
    <n v="113.5"/>
    <n v="0.86666666666666703"/>
    <n v="0"/>
    <n v="0"/>
    <n v="0"/>
    <x v="3"/>
    <x v="4"/>
  </r>
  <r>
    <s v="EMP0803"/>
    <x v="224"/>
    <x v="7"/>
    <n v="284285"/>
    <n v="4256"/>
    <n v="31271"/>
    <n v="15"/>
    <n v="102.89999999999999"/>
    <n v="0.8"/>
    <n v="3"/>
    <n v="1"/>
    <n v="0"/>
    <x v="3"/>
    <x v="4"/>
  </r>
  <r>
    <s v="EMP0804"/>
    <x v="123"/>
    <x v="9"/>
    <n v="235346"/>
    <n v="38662"/>
    <n v="25888"/>
    <n v="15"/>
    <n v="104.7"/>
    <n v="0.86666666666666703"/>
    <n v="16"/>
    <n v="2"/>
    <n v="0"/>
    <x v="3"/>
    <x v="4"/>
  </r>
  <r>
    <s v="EMP0805"/>
    <x v="144"/>
    <x v="1"/>
    <n v="794096"/>
    <n v="54777"/>
    <n v="87351"/>
    <n v="15"/>
    <n v="120.29999999999998"/>
    <n v="0.93333333333333302"/>
    <n v="0"/>
    <n v="0"/>
    <n v="0"/>
    <x v="3"/>
    <x v="4"/>
  </r>
  <r>
    <s v="EMP0806"/>
    <x v="355"/>
    <x v="6"/>
    <n v="322587"/>
    <n v="42934"/>
    <n v="35485"/>
    <n v="15"/>
    <n v="111.7"/>
    <n v="0.86666666666666703"/>
    <n v="0"/>
    <n v="0"/>
    <n v="0"/>
    <x v="3"/>
    <x v="4"/>
  </r>
  <r>
    <s v="EMP0807"/>
    <x v="330"/>
    <x v="3"/>
    <n v="722148"/>
    <n v="88234"/>
    <n v="79436"/>
    <n v="15"/>
    <n v="101.80000000000001"/>
    <n v="0.73333333333333295"/>
    <n v="5"/>
    <n v="1"/>
    <n v="0"/>
    <x v="3"/>
    <x v="4"/>
  </r>
  <r>
    <s v="EMP0808"/>
    <x v="359"/>
    <x v="9"/>
    <n v="574479"/>
    <n v="62101"/>
    <m/>
    <n v="15"/>
    <n v="86"/>
    <n v="0.73333333333333295"/>
    <n v="0"/>
    <n v="0"/>
    <n v="0"/>
    <x v="3"/>
    <x v="4"/>
  </r>
  <r>
    <s v="EMP0809"/>
    <x v="14"/>
    <x v="0"/>
    <n v="416215"/>
    <n v="22950"/>
    <n v="45784"/>
    <n v="15"/>
    <n v="84.7"/>
    <n v="0.6"/>
    <n v="14"/>
    <n v="2"/>
    <n v="0"/>
    <x v="3"/>
    <x v="4"/>
  </r>
  <r>
    <s v="EMP0810"/>
    <x v="138"/>
    <x v="4"/>
    <n v="421661"/>
    <n v="33120"/>
    <n v="46383"/>
    <n v="15"/>
    <n v="97.699999999999974"/>
    <n v="0.73333333333333295"/>
    <n v="12"/>
    <n v="2"/>
    <n v="0"/>
    <x v="3"/>
    <x v="4"/>
  </r>
  <r>
    <s v="EMP0811"/>
    <x v="360"/>
    <x v="3"/>
    <n v="451106"/>
    <n v="74857"/>
    <n v="49622"/>
    <n v="15"/>
    <n v="121.69999999999999"/>
    <n v="1"/>
    <n v="0"/>
    <n v="0"/>
    <n v="0"/>
    <x v="3"/>
    <x v="4"/>
  </r>
  <r>
    <s v="EMP0812"/>
    <x v="124"/>
    <x v="0"/>
    <n v="672272"/>
    <n v="52751"/>
    <n v="73950"/>
    <n v="15"/>
    <n v="98"/>
    <n v="0.6"/>
    <n v="0"/>
    <n v="0"/>
    <n v="0"/>
    <x v="3"/>
    <x v="4"/>
  </r>
  <r>
    <s v="EMP0813"/>
    <x v="107"/>
    <x v="4"/>
    <n v="597756"/>
    <n v="69236"/>
    <n v="65753"/>
    <n v="15"/>
    <n v="95"/>
    <n v="0.6"/>
    <n v="0"/>
    <n v="0"/>
    <n v="0"/>
    <x v="3"/>
    <x v="4"/>
  </r>
  <r>
    <s v="EMP0814"/>
    <x v="361"/>
    <x v="1"/>
    <n v="627890"/>
    <n v="18620"/>
    <n v="69068"/>
    <n v="15"/>
    <n v="110.2"/>
    <n v="0.93333333333333302"/>
    <n v="0"/>
    <n v="0"/>
    <n v="0"/>
    <x v="3"/>
    <x v="4"/>
  </r>
  <r>
    <s v="EMP0815"/>
    <x v="186"/>
    <x v="2"/>
    <n v="819231"/>
    <n v="81717"/>
    <n v="90115"/>
    <n v="15"/>
    <n v="90.5"/>
    <n v="0.66666666666666696"/>
    <n v="0"/>
    <n v="0"/>
    <n v="0"/>
    <x v="3"/>
    <x v="4"/>
  </r>
  <r>
    <s v="EMP0816"/>
    <x v="30"/>
    <x v="0"/>
    <n v="657558"/>
    <n v="27325"/>
    <n v="72331"/>
    <n v="15"/>
    <n v="93.5"/>
    <n v="0.6"/>
    <n v="4"/>
    <n v="1"/>
    <n v="0"/>
    <x v="3"/>
    <x v="4"/>
  </r>
  <r>
    <s v="EMP0817"/>
    <x v="277"/>
    <x v="2"/>
    <n v="762810"/>
    <n v="12791"/>
    <n v="83909"/>
    <n v="15"/>
    <n v="111.49999999999999"/>
    <n v="0.8"/>
    <n v="19"/>
    <n v="2"/>
    <n v="0"/>
    <x v="3"/>
    <x v="4"/>
  </r>
  <r>
    <s v="EMP0818"/>
    <x v="322"/>
    <x v="0"/>
    <n v="372190"/>
    <n v="8308"/>
    <n v="40941"/>
    <n v="15"/>
    <n v="84.499999999999986"/>
    <n v="0.66666666666666696"/>
    <n v="8"/>
    <n v="1"/>
    <n v="0"/>
    <x v="3"/>
    <x v="4"/>
  </r>
  <r>
    <s v="EMP0819"/>
    <x v="218"/>
    <x v="9"/>
    <n v="373169"/>
    <n v="80526"/>
    <n v="41049"/>
    <n v="15"/>
    <n v="85.999999999999986"/>
    <n v="0.53333333333333299"/>
    <n v="12"/>
    <n v="1"/>
    <n v="0"/>
    <x v="3"/>
    <x v="4"/>
  </r>
  <r>
    <s v="EMP0820"/>
    <x v="36"/>
    <x v="7"/>
    <n v="832001"/>
    <n v="78012"/>
    <n v="91520"/>
    <n v="15"/>
    <n v="105.10000000000001"/>
    <n v="0.8"/>
    <n v="0"/>
    <n v="0"/>
    <n v="0"/>
    <x v="3"/>
    <x v="4"/>
  </r>
  <r>
    <s v="EMP0821"/>
    <x v="225"/>
    <x v="2"/>
    <n v="709050"/>
    <n v="9655"/>
    <n v="77996"/>
    <n v="15"/>
    <n v="104.80000000000001"/>
    <n v="0.86666666666666703"/>
    <n v="9"/>
    <n v="2"/>
    <n v="0"/>
    <x v="3"/>
    <x v="4"/>
  </r>
  <r>
    <s v="EMP0822"/>
    <x v="231"/>
    <x v="1"/>
    <n v="329748"/>
    <n v="37561"/>
    <n v="36272"/>
    <n v="15"/>
    <n v="112.19999999999999"/>
    <n v="0.86666666666666703"/>
    <n v="0"/>
    <n v="0"/>
    <n v="0"/>
    <x v="3"/>
    <x v="4"/>
  </r>
  <r>
    <s v="EMP0823"/>
    <x v="362"/>
    <x v="2"/>
    <n v="354204"/>
    <n v="86694"/>
    <n v="38962"/>
    <n v="15"/>
    <n v="89.500000000000014"/>
    <n v="0.6"/>
    <n v="0"/>
    <n v="0"/>
    <n v="0"/>
    <x v="3"/>
    <x v="4"/>
  </r>
  <r>
    <s v="EMP0824"/>
    <x v="185"/>
    <x v="9"/>
    <n v="509857"/>
    <n v="73837"/>
    <n v="56084"/>
    <n v="14"/>
    <n v="104.60000000000001"/>
    <n v="0.85714285714285698"/>
    <n v="12"/>
    <n v="2"/>
    <n v="0"/>
    <x v="3"/>
    <x v="4"/>
  </r>
  <r>
    <s v="EMP0825"/>
    <x v="190"/>
    <x v="8"/>
    <n v="741013"/>
    <n v="46748"/>
    <n v="81511"/>
    <n v="15"/>
    <n v="121.1"/>
    <n v="0.8"/>
    <n v="7"/>
    <n v="1"/>
    <n v="0"/>
    <x v="3"/>
    <x v="4"/>
  </r>
  <r>
    <s v="EMP0826"/>
    <x v="233"/>
    <x v="0"/>
    <n v="491932"/>
    <n v="89176"/>
    <n v="54113"/>
    <n v="15"/>
    <n v="106"/>
    <n v="0.8"/>
    <n v="0"/>
    <n v="0"/>
    <n v="0"/>
    <x v="3"/>
    <x v="4"/>
  </r>
  <r>
    <s v="EMP0827"/>
    <x v="186"/>
    <x v="2"/>
    <n v="243113"/>
    <n v="49226"/>
    <n v="26742"/>
    <n v="13"/>
    <n v="82.6"/>
    <n v="0.69230769230769196"/>
    <n v="9"/>
    <n v="2"/>
    <n v="0"/>
    <x v="3"/>
    <x v="4"/>
  </r>
  <r>
    <s v="EMP0828"/>
    <x v="214"/>
    <x v="0"/>
    <n v="797338"/>
    <n v="6883"/>
    <n v="87707"/>
    <n v="15"/>
    <n v="109.00000000000001"/>
    <n v="0.73333333333333295"/>
    <n v="0"/>
    <n v="0"/>
    <n v="0"/>
    <x v="3"/>
    <x v="4"/>
  </r>
  <r>
    <s v="EMP0829"/>
    <x v="363"/>
    <x v="0"/>
    <n v="239178"/>
    <n v="74164"/>
    <n v="26310"/>
    <n v="15"/>
    <n v="111.89999999999999"/>
    <n v="0.66666666666666696"/>
    <n v="4"/>
    <n v="1"/>
    <n v="0"/>
    <x v="3"/>
    <x v="4"/>
  </r>
  <r>
    <s v="EMP0830"/>
    <x v="214"/>
    <x v="7"/>
    <n v="300318"/>
    <n v="15087"/>
    <n v="33035"/>
    <n v="15"/>
    <n v="113.19999999999999"/>
    <n v="0.8"/>
    <n v="0"/>
    <n v="0"/>
    <n v="0"/>
    <x v="3"/>
    <x v="4"/>
  </r>
  <r>
    <s v="EMP0831"/>
    <x v="187"/>
    <x v="2"/>
    <n v="580072"/>
    <n v="29506"/>
    <n v="63808"/>
    <n v="15"/>
    <n v="60.600000000000009"/>
    <n v="0.4"/>
    <n v="0"/>
    <n v="0"/>
    <n v="0"/>
    <x v="3"/>
    <x v="4"/>
  </r>
  <r>
    <s v="EMP0832"/>
    <x v="364"/>
    <x v="8"/>
    <n v="332114"/>
    <n v="20588"/>
    <n v="36533"/>
    <n v="15"/>
    <n v="104.2"/>
    <n v="0.73333333333333295"/>
    <n v="0"/>
    <n v="0"/>
    <n v="0"/>
    <x v="3"/>
    <x v="4"/>
  </r>
  <r>
    <s v="EMP0833"/>
    <x v="89"/>
    <x v="7"/>
    <n v="400981"/>
    <n v="49971"/>
    <n v="44108"/>
    <n v="15"/>
    <n v="95.2"/>
    <n v="0.8"/>
    <n v="24"/>
    <n v="2"/>
    <n v="0"/>
    <x v="3"/>
    <x v="4"/>
  </r>
  <r>
    <s v="EMP0834"/>
    <x v="365"/>
    <x v="1"/>
    <n v="615558"/>
    <n v="64133"/>
    <n v="67711"/>
    <n v="14"/>
    <n v="100.60000000000001"/>
    <n v="0.85714285714285698"/>
    <n v="0"/>
    <n v="0"/>
    <n v="0"/>
    <x v="3"/>
    <x v="4"/>
  </r>
  <r>
    <s v="EMP0835"/>
    <x v="7"/>
    <x v="0"/>
    <n v="779092"/>
    <n v="89476"/>
    <n v="85700"/>
    <n v="15"/>
    <n v="110"/>
    <n v="0.93333333333333302"/>
    <n v="0"/>
    <n v="0"/>
    <n v="0"/>
    <x v="3"/>
    <x v="4"/>
  </r>
  <r>
    <s v="EMP0836"/>
    <x v="274"/>
    <x v="1"/>
    <n v="611674"/>
    <n v="65960"/>
    <n v="67284"/>
    <n v="15"/>
    <n v="97.299999999999983"/>
    <n v="0.66666666666666696"/>
    <n v="0"/>
    <n v="0"/>
    <n v="0"/>
    <x v="3"/>
    <x v="4"/>
  </r>
  <r>
    <s v="EMP0837"/>
    <x v="88"/>
    <x v="8"/>
    <n v="354978"/>
    <n v="75300"/>
    <n v="39048"/>
    <n v="15"/>
    <n v="97.100000000000009"/>
    <n v="0.73333333333333295"/>
    <n v="0"/>
    <n v="0"/>
    <n v="0"/>
    <x v="3"/>
    <x v="4"/>
  </r>
  <r>
    <s v="EMP0838"/>
    <x v="339"/>
    <x v="8"/>
    <n v="289380"/>
    <n v="253"/>
    <n v="31832"/>
    <n v="15"/>
    <n v="111.50000000000001"/>
    <n v="0.8"/>
    <n v="0"/>
    <n v="0"/>
    <n v="0"/>
    <x v="3"/>
    <x v="4"/>
  </r>
  <r>
    <s v="EMP0839"/>
    <x v="4"/>
    <x v="9"/>
    <n v="843319"/>
    <n v="50326"/>
    <n v="92765"/>
    <n v="15"/>
    <n v="101.3"/>
    <n v="0.86666666666666703"/>
    <n v="0"/>
    <n v="0"/>
    <n v="0"/>
    <x v="3"/>
    <x v="4"/>
  </r>
  <r>
    <s v="EMP0840"/>
    <x v="293"/>
    <x v="2"/>
    <n v="582648"/>
    <n v="9512"/>
    <n v="64091"/>
    <n v="15"/>
    <n v="105.39999999999999"/>
    <n v="0.73333333333333295"/>
    <n v="13"/>
    <n v="2"/>
    <n v="0"/>
    <x v="3"/>
    <x v="4"/>
  </r>
  <r>
    <s v="EMP0841"/>
    <x v="364"/>
    <x v="2"/>
    <n v="642395"/>
    <n v="84237"/>
    <n v="70663"/>
    <n v="14"/>
    <n v="110.29999999999998"/>
    <n v="1"/>
    <n v="0"/>
    <n v="0"/>
    <n v="0"/>
    <x v="3"/>
    <x v="4"/>
  </r>
  <r>
    <s v="EMP0842"/>
    <x v="349"/>
    <x v="8"/>
    <n v="480939"/>
    <n v="13785"/>
    <n v="52903"/>
    <n v="14"/>
    <n v="105.40000000000002"/>
    <n v="0.57142857142857095"/>
    <n v="12"/>
    <n v="1"/>
    <n v="0"/>
    <x v="3"/>
    <x v="4"/>
  </r>
  <r>
    <s v="EMP0843"/>
    <x v="143"/>
    <x v="5"/>
    <n v="314054"/>
    <n v="12594"/>
    <n v="34546"/>
    <n v="15"/>
    <n v="113"/>
    <n v="0.86666666666666703"/>
    <n v="9"/>
    <n v="1"/>
    <n v="0"/>
    <x v="3"/>
    <x v="4"/>
  </r>
  <r>
    <s v="EMP0844"/>
    <x v="283"/>
    <x v="6"/>
    <n v="783578"/>
    <n v="15246"/>
    <n v="86194"/>
    <n v="15"/>
    <n v="104.8"/>
    <n v="0.86666666666666703"/>
    <n v="29"/>
    <n v="3"/>
    <n v="0"/>
    <x v="3"/>
    <x v="4"/>
  </r>
  <r>
    <s v="EMP0845"/>
    <x v="300"/>
    <x v="3"/>
    <n v="598376"/>
    <n v="69005"/>
    <n v="65821"/>
    <n v="15"/>
    <n v="89.6"/>
    <n v="0.6"/>
    <n v="0"/>
    <n v="0"/>
    <n v="0"/>
    <x v="3"/>
    <x v="4"/>
  </r>
  <r>
    <s v="EMP0846"/>
    <x v="366"/>
    <x v="5"/>
    <n v="727216"/>
    <n v="61010"/>
    <n v="79994"/>
    <n v="15"/>
    <n v="110.49999999999999"/>
    <n v="0.93333333333333302"/>
    <n v="0"/>
    <n v="0"/>
    <n v="0"/>
    <x v="3"/>
    <x v="4"/>
  </r>
  <r>
    <s v="EMP0847"/>
    <x v="191"/>
    <x v="9"/>
    <n v="675045"/>
    <n v="8687"/>
    <n v="74255"/>
    <n v="15"/>
    <n v="120.49999999999999"/>
    <n v="0.93333333333333302"/>
    <n v="8"/>
    <n v="1"/>
    <n v="0"/>
    <x v="3"/>
    <x v="4"/>
  </r>
  <r>
    <s v="EMP0848"/>
    <x v="168"/>
    <x v="2"/>
    <n v="281911"/>
    <n v="80782"/>
    <n v="31010"/>
    <n v="15"/>
    <n v="103.2"/>
    <n v="0.8"/>
    <n v="10"/>
    <n v="1"/>
    <n v="0"/>
    <x v="3"/>
    <x v="4"/>
  </r>
  <r>
    <s v="EMP0849"/>
    <x v="111"/>
    <x v="3"/>
    <n v="278812"/>
    <n v="27640"/>
    <n v="30669"/>
    <n v="15"/>
    <n v="102.39999999999996"/>
    <n v="0.73333333333333295"/>
    <n v="19"/>
    <n v="2"/>
    <n v="0"/>
    <x v="3"/>
    <x v="4"/>
  </r>
  <r>
    <s v="EMP0850"/>
    <x v="57"/>
    <x v="4"/>
    <n v="704021"/>
    <n v="35178"/>
    <n v="77442"/>
    <n v="15"/>
    <n v="102.20000000000002"/>
    <n v="0.86666666666666703"/>
    <n v="24"/>
    <n v="2"/>
    <n v="0"/>
    <x v="3"/>
    <x v="4"/>
  </r>
  <r>
    <s v="EMP0851"/>
    <x v="156"/>
    <x v="1"/>
    <n v="550304"/>
    <n v="64452"/>
    <n v="60533"/>
    <n v="15"/>
    <n v="114.8"/>
    <n v="0.86666666666666703"/>
    <n v="9"/>
    <n v="1"/>
    <n v="0"/>
    <x v="3"/>
    <x v="4"/>
  </r>
  <r>
    <s v="EMP0852"/>
    <x v="243"/>
    <x v="0"/>
    <n v="790040"/>
    <n v="75358"/>
    <n v="86904"/>
    <n v="15"/>
    <n v="113.69999999999999"/>
    <n v="0.86666666666666703"/>
    <n v="3"/>
    <n v="1"/>
    <n v="0"/>
    <x v="3"/>
    <x v="4"/>
  </r>
  <r>
    <s v="EMP0853"/>
    <x v="36"/>
    <x v="6"/>
    <n v="493045"/>
    <n v="14067"/>
    <n v="54235"/>
    <n v="15"/>
    <n v="112.20000000000002"/>
    <n v="0.86666666666666703"/>
    <n v="0"/>
    <n v="0"/>
    <n v="0"/>
    <x v="3"/>
    <x v="4"/>
  </r>
  <r>
    <s v="EMP0854"/>
    <x v="367"/>
    <x v="1"/>
    <n v="592196"/>
    <n v="15247"/>
    <n v="65142"/>
    <n v="15"/>
    <n v="122.9"/>
    <n v="0.93333333333333302"/>
    <n v="0"/>
    <n v="0"/>
    <n v="0"/>
    <x v="3"/>
    <x v="4"/>
  </r>
  <r>
    <s v="EMP0855"/>
    <x v="163"/>
    <x v="1"/>
    <n v="831496"/>
    <n v="15843"/>
    <n v="91465"/>
    <n v="15"/>
    <n v="121.99999999999999"/>
    <n v="0.66666666666666696"/>
    <n v="0"/>
    <n v="0"/>
    <n v="0"/>
    <x v="3"/>
    <x v="4"/>
  </r>
  <r>
    <s v="EMP0856"/>
    <x v="44"/>
    <x v="9"/>
    <n v="332108"/>
    <n v="55940"/>
    <n v="36532"/>
    <n v="15"/>
    <n v="103.99999999999999"/>
    <n v="0.86666666666666703"/>
    <n v="0"/>
    <n v="0"/>
    <n v="0"/>
    <x v="3"/>
    <x v="4"/>
  </r>
  <r>
    <s v="EMP0857"/>
    <x v="312"/>
    <x v="9"/>
    <n v="446141"/>
    <n v="66931"/>
    <n v="49076"/>
    <n v="15"/>
    <n v="117"/>
    <n v="0.8"/>
    <n v="17"/>
    <n v="2"/>
    <n v="0"/>
    <x v="3"/>
    <x v="4"/>
  </r>
  <r>
    <s v="EMP0858"/>
    <x v="245"/>
    <x v="1"/>
    <n v="509624"/>
    <n v="53898"/>
    <m/>
    <n v="15"/>
    <n v="90.000000000000014"/>
    <n v="0.6"/>
    <n v="0"/>
    <n v="0"/>
    <n v="0"/>
    <x v="3"/>
    <x v="4"/>
  </r>
  <r>
    <s v="EMP0859"/>
    <x v="303"/>
    <x v="6"/>
    <n v="528479"/>
    <n v="43270"/>
    <n v="58133"/>
    <n v="15"/>
    <n v="111.5"/>
    <n v="0.93333333333333302"/>
    <n v="15"/>
    <n v="2"/>
    <n v="0"/>
    <x v="3"/>
    <x v="4"/>
  </r>
  <r>
    <s v="EMP0860"/>
    <x v="368"/>
    <x v="5"/>
    <n v="368682"/>
    <n v="29349"/>
    <n v="40555"/>
    <n v="15"/>
    <n v="87.199999999999989"/>
    <n v="0.66666666666666696"/>
    <n v="0"/>
    <n v="0"/>
    <n v="0"/>
    <x v="3"/>
    <x v="4"/>
  </r>
  <r>
    <s v="EMP0861"/>
    <x v="105"/>
    <x v="8"/>
    <n v="821571"/>
    <n v="9560"/>
    <n v="90373"/>
    <n v="15"/>
    <n v="105.79999999999998"/>
    <n v="0.66666666666666696"/>
    <n v="0"/>
    <n v="0"/>
    <n v="0"/>
    <x v="3"/>
    <x v="4"/>
  </r>
  <r>
    <s v="EMP0862"/>
    <x v="83"/>
    <x v="6"/>
    <n v="811532"/>
    <n v="72795"/>
    <m/>
    <n v="15"/>
    <n v="113.00000000000001"/>
    <n v="0.8"/>
    <n v="0"/>
    <n v="0"/>
    <n v="0"/>
    <x v="3"/>
    <x v="4"/>
  </r>
  <r>
    <s v="EMP0863"/>
    <x v="139"/>
    <x v="0"/>
    <n v="519948"/>
    <n v="41190"/>
    <n v="57194"/>
    <n v="15"/>
    <n v="105.70000000000002"/>
    <n v="0.73333333333333295"/>
    <n v="0"/>
    <n v="0"/>
    <n v="0"/>
    <x v="3"/>
    <x v="4"/>
  </r>
  <r>
    <s v="EMP0864"/>
    <x v="52"/>
    <x v="1"/>
    <n v="471335"/>
    <n v="15646"/>
    <n v="51847"/>
    <n v="15"/>
    <n v="96.9"/>
    <n v="0.66666666666666696"/>
    <n v="13"/>
    <n v="1"/>
    <n v="0"/>
    <x v="3"/>
    <x v="4"/>
  </r>
  <r>
    <s v="EMP0865"/>
    <x v="349"/>
    <x v="0"/>
    <n v="828359"/>
    <n v="15712"/>
    <n v="91119"/>
    <n v="15"/>
    <n v="110.69999999999999"/>
    <n v="0.86666666666666703"/>
    <n v="13"/>
    <n v="1"/>
    <n v="0"/>
    <x v="3"/>
    <x v="4"/>
  </r>
  <r>
    <s v="EMP0866"/>
    <x v="220"/>
    <x v="1"/>
    <n v="335063"/>
    <n v="62223"/>
    <n v="36857"/>
    <n v="15"/>
    <n v="105.7"/>
    <n v="0.8"/>
    <n v="0"/>
    <n v="0"/>
    <n v="0"/>
    <x v="3"/>
    <x v="4"/>
  </r>
  <r>
    <s v="EMP0867"/>
    <x v="267"/>
    <x v="8"/>
    <n v="766669"/>
    <n v="44097"/>
    <n v="84334"/>
    <n v="15"/>
    <n v="108.1"/>
    <n v="0.8"/>
    <n v="0"/>
    <n v="0"/>
    <n v="0"/>
    <x v="3"/>
    <x v="4"/>
  </r>
  <r>
    <s v="EMP0868"/>
    <x v="341"/>
    <x v="2"/>
    <n v="721109"/>
    <n v="85734"/>
    <n v="79322"/>
    <n v="14"/>
    <n v="92"/>
    <n v="0.57142857142857095"/>
    <n v="0"/>
    <n v="0"/>
    <n v="0"/>
    <x v="3"/>
    <x v="4"/>
  </r>
  <r>
    <s v="EMP0869"/>
    <x v="323"/>
    <x v="5"/>
    <n v="590460"/>
    <n v="86095"/>
    <n v="64951"/>
    <n v="14"/>
    <n v="94.8"/>
    <n v="0.64285714285714302"/>
    <n v="10"/>
    <n v="1"/>
    <n v="0"/>
    <x v="3"/>
    <x v="4"/>
  </r>
  <r>
    <s v="EMP0870"/>
    <x v="248"/>
    <x v="2"/>
    <n v="513632"/>
    <n v="19982"/>
    <n v="56500"/>
    <n v="14"/>
    <n v="105.99999999999997"/>
    <n v="0.85714285714285698"/>
    <n v="0"/>
    <n v="0"/>
    <n v="0"/>
    <x v="3"/>
    <x v="4"/>
  </r>
  <r>
    <s v="EMP0871"/>
    <x v="230"/>
    <x v="8"/>
    <n v="461140"/>
    <n v="205"/>
    <n v="50725"/>
    <n v="15"/>
    <n v="113.60000000000001"/>
    <n v="0.93333333333333302"/>
    <n v="10"/>
    <n v="1"/>
    <n v="0"/>
    <x v="3"/>
    <x v="4"/>
  </r>
  <r>
    <s v="EMP0872"/>
    <x v="39"/>
    <x v="5"/>
    <n v="354711"/>
    <n v="65514"/>
    <n v="39018"/>
    <n v="15"/>
    <n v="107.30000000000001"/>
    <n v="0.86666666666666703"/>
    <n v="0"/>
    <n v="0"/>
    <n v="0"/>
    <x v="3"/>
    <x v="4"/>
  </r>
  <r>
    <s v="EMP0873"/>
    <x v="73"/>
    <x v="1"/>
    <n v="393982"/>
    <n v="62613"/>
    <n v="43338"/>
    <n v="15"/>
    <n v="87.8"/>
    <n v="0.6"/>
    <n v="0"/>
    <n v="0"/>
    <n v="0"/>
    <x v="3"/>
    <x v="4"/>
  </r>
  <r>
    <s v="EMP0874"/>
    <x v="16"/>
    <x v="2"/>
    <n v="402969"/>
    <n v="39316"/>
    <n v="44327"/>
    <n v="15"/>
    <n v="104.5"/>
    <n v="0.8"/>
    <n v="6"/>
    <n v="1"/>
    <n v="0"/>
    <x v="3"/>
    <x v="4"/>
  </r>
  <r>
    <s v="EMP0875"/>
    <x v="333"/>
    <x v="5"/>
    <n v="417991"/>
    <n v="13883"/>
    <n v="45979"/>
    <n v="15"/>
    <n v="84.4"/>
    <n v="0.6"/>
    <n v="4"/>
    <n v="1"/>
    <n v="0"/>
    <x v="3"/>
    <x v="4"/>
  </r>
  <r>
    <s v="EMP0876"/>
    <x v="207"/>
    <x v="1"/>
    <n v="512623"/>
    <n v="38311"/>
    <n v="56389"/>
    <n v="15"/>
    <n v="97.800000000000011"/>
    <n v="0.73333333333333295"/>
    <n v="0"/>
    <n v="0"/>
    <n v="0"/>
    <x v="3"/>
    <x v="4"/>
  </r>
  <r>
    <s v="EMP0877"/>
    <x v="242"/>
    <x v="7"/>
    <n v="521724"/>
    <n v="27057"/>
    <n v="57390"/>
    <n v="15"/>
    <n v="103.5"/>
    <n v="0.73333333333333295"/>
    <n v="0"/>
    <n v="0"/>
    <n v="0"/>
    <x v="3"/>
    <x v="4"/>
  </r>
  <r>
    <s v="EMP0878"/>
    <x v="255"/>
    <x v="0"/>
    <n v="776001"/>
    <n v="46672"/>
    <n v="85360"/>
    <n v="15"/>
    <n v="102.20000000000002"/>
    <n v="0.73333333333333295"/>
    <n v="11"/>
    <n v="1"/>
    <n v="0"/>
    <x v="3"/>
    <x v="4"/>
  </r>
  <r>
    <s v="EMP0879"/>
    <x v="71"/>
    <x v="3"/>
    <n v="819659"/>
    <n v="15947"/>
    <n v="90162"/>
    <n v="14"/>
    <n v="104.99999999999999"/>
    <n v="0.85714285714285698"/>
    <n v="7"/>
    <n v="1"/>
    <n v="0"/>
    <x v="3"/>
    <x v="4"/>
  </r>
  <r>
    <s v="EMP0880"/>
    <x v="194"/>
    <x v="0"/>
    <n v="328841"/>
    <n v="52391"/>
    <n v="36173"/>
    <n v="15"/>
    <n v="118.70000000000002"/>
    <n v="0.66666666666666696"/>
    <n v="0"/>
    <n v="0"/>
    <n v="0"/>
    <x v="3"/>
    <x v="4"/>
  </r>
  <r>
    <s v="EMP0881"/>
    <x v="269"/>
    <x v="7"/>
    <n v="367626"/>
    <n v="6275"/>
    <n v="40439"/>
    <n v="15"/>
    <n v="122.10000000000001"/>
    <n v="0.86666666666666703"/>
    <n v="9"/>
    <n v="1"/>
    <n v="0"/>
    <x v="3"/>
    <x v="4"/>
  </r>
  <r>
    <s v="EMP0882"/>
    <x v="283"/>
    <x v="4"/>
    <n v="647558"/>
    <n v="54616"/>
    <n v="71231"/>
    <n v="15"/>
    <n v="96.4"/>
    <n v="0.66666666666666696"/>
    <n v="0"/>
    <n v="0"/>
    <n v="0"/>
    <x v="3"/>
    <x v="4"/>
  </r>
  <r>
    <s v="EMP0883"/>
    <x v="156"/>
    <x v="3"/>
    <n v="275012"/>
    <n v="10672"/>
    <n v="30251"/>
    <n v="14"/>
    <n v="104.10000000000001"/>
    <n v="0.78571428571428603"/>
    <n v="12"/>
    <n v="1"/>
    <n v="0"/>
    <x v="3"/>
    <x v="4"/>
  </r>
  <r>
    <s v="EMP0884"/>
    <x v="172"/>
    <x v="8"/>
    <n v="525404"/>
    <n v="67026"/>
    <n v="57794"/>
    <n v="15"/>
    <n v="96.2"/>
    <n v="0.6"/>
    <n v="3"/>
    <n v="1"/>
    <n v="0"/>
    <x v="3"/>
    <x v="4"/>
  </r>
  <r>
    <s v="EMP0885"/>
    <x v="231"/>
    <x v="6"/>
    <n v="274807"/>
    <n v="81398"/>
    <n v="30229"/>
    <n v="15"/>
    <n v="80.900000000000006"/>
    <n v="0.66666666666666696"/>
    <n v="0"/>
    <n v="0"/>
    <n v="0"/>
    <x v="3"/>
    <x v="4"/>
  </r>
  <r>
    <s v="EMP0886"/>
    <x v="109"/>
    <x v="2"/>
    <n v="273231"/>
    <n v="43000"/>
    <n v="30055"/>
    <n v="15"/>
    <n v="105.10000000000001"/>
    <n v="0.8"/>
    <n v="0"/>
    <n v="0"/>
    <n v="0"/>
    <x v="3"/>
    <x v="4"/>
  </r>
  <r>
    <s v="EMP0887"/>
    <x v="62"/>
    <x v="4"/>
    <n v="838540"/>
    <n v="26260"/>
    <n v="92239"/>
    <n v="15"/>
    <n v="107.6"/>
    <n v="0.73333333333333295"/>
    <n v="0"/>
    <n v="0"/>
    <n v="0"/>
    <x v="3"/>
    <x v="4"/>
  </r>
  <r>
    <s v="EMP0888"/>
    <x v="19"/>
    <x v="7"/>
    <n v="811543"/>
    <n v="53420"/>
    <n v="89270"/>
    <n v="15"/>
    <n v="77.599999999999994"/>
    <n v="0.66666666666666696"/>
    <n v="0"/>
    <n v="0"/>
    <n v="0"/>
    <x v="3"/>
    <x v="4"/>
  </r>
  <r>
    <s v="EMP0889"/>
    <x v="14"/>
    <x v="1"/>
    <n v="741066"/>
    <n v="55546"/>
    <n v="81517"/>
    <n v="15"/>
    <n v="120.5"/>
    <n v="0.6"/>
    <n v="0"/>
    <n v="0"/>
    <n v="0"/>
    <x v="3"/>
    <x v="4"/>
  </r>
  <r>
    <s v="EMP0890"/>
    <x v="299"/>
    <x v="2"/>
    <n v="522465"/>
    <n v="35098"/>
    <n v="57471"/>
    <n v="15"/>
    <n v="108.9"/>
    <n v="0.8"/>
    <n v="0"/>
    <n v="0"/>
    <n v="0"/>
    <x v="3"/>
    <x v="4"/>
  </r>
  <r>
    <s v="EMP0891"/>
    <x v="257"/>
    <x v="9"/>
    <n v="238924"/>
    <n v="4971"/>
    <n v="26282"/>
    <n v="15"/>
    <n v="96.500000000000014"/>
    <n v="0.66666666666666696"/>
    <n v="0"/>
    <n v="0"/>
    <n v="0"/>
    <x v="3"/>
    <x v="4"/>
  </r>
  <r>
    <s v="EMP0892"/>
    <x v="257"/>
    <x v="9"/>
    <n v="687806"/>
    <n v="57563"/>
    <n v="75659"/>
    <n v="15"/>
    <n v="117.80000000000003"/>
    <n v="0.93333333333333302"/>
    <n v="15"/>
    <n v="3"/>
    <n v="0"/>
    <x v="3"/>
    <x v="4"/>
  </r>
  <r>
    <s v="EMP0893"/>
    <x v="304"/>
    <x v="7"/>
    <n v="732692"/>
    <n v="85642"/>
    <n v="80596"/>
    <n v="15"/>
    <n v="110.1"/>
    <n v="0.8"/>
    <n v="2"/>
    <n v="1"/>
    <n v="0"/>
    <x v="3"/>
    <x v="4"/>
  </r>
  <r>
    <s v="EMP0894"/>
    <x v="369"/>
    <x v="1"/>
    <n v="655856"/>
    <n v="51084"/>
    <n v="72144"/>
    <n v="15"/>
    <n v="101.39999999999999"/>
    <n v="0.73333333333333295"/>
    <n v="24"/>
    <n v="3"/>
    <n v="0"/>
    <x v="3"/>
    <x v="4"/>
  </r>
  <r>
    <s v="EMP0895"/>
    <x v="59"/>
    <x v="6"/>
    <n v="330423"/>
    <n v="81924"/>
    <n v="36347"/>
    <n v="15"/>
    <n v="99.3"/>
    <n v="0.8"/>
    <n v="0"/>
    <n v="0"/>
    <n v="0"/>
    <x v="3"/>
    <x v="4"/>
  </r>
  <r>
    <s v="EMP0896"/>
    <x v="126"/>
    <x v="7"/>
    <n v="544276"/>
    <n v="33665"/>
    <n v="59870"/>
    <n v="15"/>
    <n v="100"/>
    <n v="0.66666666666666696"/>
    <n v="0"/>
    <n v="0"/>
    <n v="0"/>
    <x v="3"/>
    <x v="4"/>
  </r>
  <r>
    <s v="EMP0897"/>
    <x v="77"/>
    <x v="8"/>
    <n v="230496"/>
    <n v="4698"/>
    <n v="25355"/>
    <n v="15"/>
    <n v="120.4"/>
    <n v="0.8"/>
    <n v="7"/>
    <n v="1"/>
    <n v="0"/>
    <x v="3"/>
    <x v="4"/>
  </r>
  <r>
    <s v="EMP0898"/>
    <x v="206"/>
    <x v="9"/>
    <n v="600898"/>
    <n v="57383"/>
    <n v="66099"/>
    <n v="15"/>
    <n v="106.5"/>
    <n v="0.73333333333333295"/>
    <n v="0"/>
    <n v="0"/>
    <n v="0"/>
    <x v="3"/>
    <x v="4"/>
  </r>
  <r>
    <s v="EMP0899"/>
    <x v="144"/>
    <x v="6"/>
    <n v="678552"/>
    <n v="71177"/>
    <n v="74641"/>
    <n v="15"/>
    <n v="94.700000000000017"/>
    <n v="0.73333333333333295"/>
    <n v="0"/>
    <n v="0"/>
    <n v="0"/>
    <x v="3"/>
    <x v="4"/>
  </r>
  <r>
    <s v="EMP0900"/>
    <x v="357"/>
    <x v="4"/>
    <n v="360747"/>
    <n v="83427"/>
    <n v="39682"/>
    <n v="15"/>
    <n v="110"/>
    <n v="0.86666666666666703"/>
    <n v="0"/>
    <n v="0"/>
    <n v="0"/>
    <x v="3"/>
    <x v="4"/>
  </r>
  <r>
    <s v="EMP0901"/>
    <x v="184"/>
    <x v="7"/>
    <n v="543262"/>
    <n v="70310"/>
    <m/>
    <n v="14"/>
    <n v="94.90000000000002"/>
    <n v="0.5"/>
    <n v="0"/>
    <n v="0"/>
    <n v="0"/>
    <x v="3"/>
    <x v="4"/>
  </r>
  <r>
    <s v="EMP0902"/>
    <x v="257"/>
    <x v="0"/>
    <n v="582225"/>
    <n v="69776"/>
    <n v="64045"/>
    <n v="15"/>
    <n v="101.9"/>
    <n v="0.8"/>
    <n v="0"/>
    <n v="0"/>
    <n v="0"/>
    <x v="3"/>
    <x v="4"/>
  </r>
  <r>
    <s v="EMP0903"/>
    <x v="4"/>
    <x v="0"/>
    <n v="491832"/>
    <n v="56113"/>
    <n v="54102"/>
    <n v="15"/>
    <n v="111.39999999999999"/>
    <n v="0.73333333333333295"/>
    <n v="0"/>
    <n v="0"/>
    <n v="0"/>
    <x v="3"/>
    <x v="4"/>
  </r>
  <r>
    <s v="EMP0904"/>
    <x v="331"/>
    <x v="9"/>
    <n v="786893"/>
    <n v="64999"/>
    <n v="86558"/>
    <n v="15"/>
    <n v="89.199999999999989"/>
    <n v="0.66666666666666696"/>
    <n v="0"/>
    <n v="0"/>
    <n v="0"/>
    <x v="3"/>
    <x v="4"/>
  </r>
  <r>
    <s v="EMP0905"/>
    <x v="254"/>
    <x v="10"/>
    <n v="481195"/>
    <n v="15803"/>
    <n v="52931"/>
    <n v="15"/>
    <n v="120.3"/>
    <n v="0.8"/>
    <n v="0"/>
    <n v="0"/>
    <n v="0"/>
    <x v="3"/>
    <x v="4"/>
  </r>
  <r>
    <s v="EMP0906"/>
    <x v="171"/>
    <x v="6"/>
    <n v="572142"/>
    <n v="22545"/>
    <n v="62936"/>
    <n v="15"/>
    <n v="109.2"/>
    <n v="0.73333333333333295"/>
    <n v="0"/>
    <n v="0"/>
    <n v="0"/>
    <x v="3"/>
    <x v="4"/>
  </r>
  <r>
    <s v="EMP0907"/>
    <x v="223"/>
    <x v="8"/>
    <n v="368015"/>
    <n v="34917"/>
    <n v="40482"/>
    <n v="15"/>
    <n v="108.30000000000001"/>
    <n v="0.8"/>
    <n v="0"/>
    <n v="0"/>
    <n v="0"/>
    <x v="3"/>
    <x v="4"/>
  </r>
  <r>
    <s v="EMP0908"/>
    <x v="190"/>
    <x v="5"/>
    <n v="775933"/>
    <n v="81428"/>
    <n v="85353"/>
    <n v="15"/>
    <n v="96.500000000000014"/>
    <n v="0.8"/>
    <n v="21"/>
    <n v="2"/>
    <n v="0"/>
    <x v="3"/>
    <x v="4"/>
  </r>
  <r>
    <s v="EMP0909"/>
    <x v="85"/>
    <x v="5"/>
    <n v="558849"/>
    <n v="6934"/>
    <n v="61473"/>
    <n v="15"/>
    <n v="87.2"/>
    <n v="0.73333333333333295"/>
    <n v="0"/>
    <n v="0"/>
    <n v="0"/>
    <x v="3"/>
    <x v="4"/>
  </r>
  <r>
    <s v="EMP0910"/>
    <x v="247"/>
    <x v="0"/>
    <n v="595780"/>
    <n v="20084"/>
    <n v="65536"/>
    <n v="15"/>
    <n v="109.70000000000002"/>
    <n v="0.93333333333333302"/>
    <n v="0"/>
    <n v="0"/>
    <n v="0"/>
    <x v="3"/>
    <x v="4"/>
  </r>
  <r>
    <s v="EMP0911"/>
    <x v="224"/>
    <x v="2"/>
    <n v="379726"/>
    <n v="74376"/>
    <n v="41770"/>
    <n v="15"/>
    <n v="119.8"/>
    <n v="0.86666666666666703"/>
    <n v="0"/>
    <n v="0"/>
    <n v="0"/>
    <x v="3"/>
    <x v="4"/>
  </r>
  <r>
    <s v="EMP0912"/>
    <x v="290"/>
    <x v="6"/>
    <n v="669675"/>
    <n v="47622"/>
    <n v="73664"/>
    <n v="15"/>
    <n v="90"/>
    <n v="0.73333333333333295"/>
    <n v="0"/>
    <n v="0"/>
    <n v="0"/>
    <x v="3"/>
    <x v="4"/>
  </r>
  <r>
    <s v="EMP0913"/>
    <x v="298"/>
    <x v="6"/>
    <n v="559167"/>
    <n v="5715"/>
    <n v="61508"/>
    <n v="15"/>
    <n v="102.69999999999999"/>
    <n v="0.86666666666666703"/>
    <n v="0"/>
    <n v="0"/>
    <n v="0"/>
    <x v="3"/>
    <x v="4"/>
  </r>
  <r>
    <s v="EMP0914"/>
    <x v="194"/>
    <x v="4"/>
    <n v="317132"/>
    <n v="56749"/>
    <m/>
    <n v="15"/>
    <n v="95.4"/>
    <n v="0.6"/>
    <n v="0"/>
    <n v="0"/>
    <n v="0"/>
    <x v="3"/>
    <x v="4"/>
  </r>
  <r>
    <s v="EMP0915"/>
    <x v="364"/>
    <x v="8"/>
    <n v="355352"/>
    <n v="73009"/>
    <n v="39089"/>
    <n v="15"/>
    <n v="103.69999999999999"/>
    <n v="0.73333333333333295"/>
    <n v="25"/>
    <n v="3"/>
    <n v="0"/>
    <x v="3"/>
    <x v="4"/>
  </r>
  <r>
    <s v="EMP0916"/>
    <x v="370"/>
    <x v="4"/>
    <n v="308331"/>
    <n v="58415"/>
    <n v="33916"/>
    <n v="15"/>
    <n v="72.899999999999991"/>
    <n v="0.6"/>
    <n v="4"/>
    <n v="1"/>
    <n v="0"/>
    <x v="3"/>
    <x v="4"/>
  </r>
  <r>
    <s v="EMP0917"/>
    <x v="279"/>
    <x v="4"/>
    <n v="506732"/>
    <n v="33949"/>
    <n v="55741"/>
    <n v="15"/>
    <n v="104.10000000000001"/>
    <n v="0.86666666666666703"/>
    <n v="19"/>
    <n v="2"/>
    <n v="0"/>
    <x v="3"/>
    <x v="4"/>
  </r>
  <r>
    <s v="EMP0918"/>
    <x v="195"/>
    <x v="1"/>
    <n v="791034"/>
    <n v="70589"/>
    <n v="87014"/>
    <n v="15"/>
    <n v="103.99999999999999"/>
    <n v="0.6"/>
    <n v="0"/>
    <n v="0"/>
    <n v="0"/>
    <x v="3"/>
    <x v="4"/>
  </r>
  <r>
    <s v="EMP0919"/>
    <x v="261"/>
    <x v="3"/>
    <n v="431707"/>
    <n v="34023"/>
    <n v="47488"/>
    <n v="15"/>
    <n v="90.6"/>
    <n v="0.73333333333333295"/>
    <n v="0"/>
    <n v="0"/>
    <n v="0"/>
    <x v="3"/>
    <x v="4"/>
  </r>
  <r>
    <s v="EMP0920"/>
    <x v="151"/>
    <x v="7"/>
    <n v="515757"/>
    <n v="28484"/>
    <n v="56733"/>
    <n v="15"/>
    <n v="114.7"/>
    <n v="0.8"/>
    <n v="0"/>
    <n v="0"/>
    <n v="0"/>
    <x v="3"/>
    <x v="4"/>
  </r>
  <r>
    <s v="EMP0921"/>
    <x v="27"/>
    <x v="7"/>
    <n v="286879"/>
    <n v="33792"/>
    <n v="31557"/>
    <n v="15"/>
    <n v="99.3"/>
    <n v="0.73333333333333295"/>
    <n v="15"/>
    <n v="3"/>
    <n v="0"/>
    <x v="3"/>
    <x v="4"/>
  </r>
  <r>
    <s v="EMP0922"/>
    <x v="371"/>
    <x v="5"/>
    <n v="780112"/>
    <n v="5671"/>
    <m/>
    <n v="15"/>
    <n v="95.5"/>
    <n v="0.6"/>
    <n v="7"/>
    <n v="1"/>
    <n v="0"/>
    <x v="3"/>
    <x v="4"/>
  </r>
  <r>
    <s v="EMP0923"/>
    <x v="84"/>
    <x v="0"/>
    <n v="399181"/>
    <n v="36120"/>
    <n v="43910"/>
    <n v="15"/>
    <n v="96"/>
    <n v="0.8"/>
    <n v="0"/>
    <n v="0"/>
    <n v="0"/>
    <x v="3"/>
    <x v="4"/>
  </r>
  <r>
    <s v="EMP0924"/>
    <x v="247"/>
    <x v="9"/>
    <n v="759086"/>
    <n v="15123"/>
    <n v="83499"/>
    <n v="15"/>
    <n v="120.49999999999999"/>
    <n v="0.8"/>
    <n v="0"/>
    <n v="0"/>
    <n v="0"/>
    <x v="3"/>
    <x v="4"/>
  </r>
  <r>
    <s v="EMP0925"/>
    <x v="368"/>
    <x v="1"/>
    <n v="232086"/>
    <n v="87672"/>
    <n v="25529"/>
    <n v="15"/>
    <n v="112.69999999999999"/>
    <n v="0.93333333333333302"/>
    <n v="11"/>
    <n v="1"/>
    <n v="0"/>
    <x v="3"/>
    <x v="4"/>
  </r>
  <r>
    <s v="EMP0926"/>
    <x v="234"/>
    <x v="3"/>
    <n v="637049"/>
    <n v="80485"/>
    <n v="70075"/>
    <n v="15"/>
    <n v="95.4"/>
    <n v="0.73333333333333295"/>
    <n v="0"/>
    <n v="0"/>
    <n v="0"/>
    <x v="3"/>
    <x v="4"/>
  </r>
  <r>
    <s v="EMP0927"/>
    <x v="372"/>
    <x v="6"/>
    <n v="312392"/>
    <n v="71767"/>
    <n v="34363"/>
    <n v="15"/>
    <n v="112.60000000000001"/>
    <n v="0.93333333333333302"/>
    <n v="0"/>
    <n v="0"/>
    <n v="0"/>
    <x v="3"/>
    <x v="4"/>
  </r>
  <r>
    <s v="EMP0928"/>
    <x v="307"/>
    <x v="3"/>
    <n v="318719"/>
    <n v="31778"/>
    <n v="35059"/>
    <n v="15"/>
    <n v="103.8"/>
    <n v="0.8"/>
    <n v="14"/>
    <n v="1"/>
    <n v="0"/>
    <x v="3"/>
    <x v="4"/>
  </r>
  <r>
    <s v="EMP0929"/>
    <x v="42"/>
    <x v="10"/>
    <n v="559732"/>
    <n v="85316"/>
    <n v="61571"/>
    <n v="15"/>
    <n v="119.20000000000002"/>
    <n v="0.8"/>
    <n v="0"/>
    <n v="0"/>
    <n v="0"/>
    <x v="3"/>
    <x v="4"/>
  </r>
  <r>
    <s v="EMP0930"/>
    <x v="307"/>
    <x v="0"/>
    <n v="226203"/>
    <n v="62485"/>
    <n v="24882"/>
    <n v="15"/>
    <n v="108"/>
    <n v="0.8"/>
    <n v="0"/>
    <n v="0"/>
    <n v="0"/>
    <x v="3"/>
    <x v="4"/>
  </r>
  <r>
    <s v="EMP0931"/>
    <x v="229"/>
    <x v="4"/>
    <n v="467699"/>
    <n v="53836"/>
    <n v="51447"/>
    <n v="15"/>
    <n v="108.30000000000001"/>
    <n v="0.86666666666666703"/>
    <n v="21"/>
    <n v="2"/>
    <n v="0"/>
    <x v="3"/>
    <x v="4"/>
  </r>
  <r>
    <s v="EMP0932"/>
    <x v="337"/>
    <x v="3"/>
    <n v="740661"/>
    <n v="68457"/>
    <n v="81473"/>
    <n v="15"/>
    <n v="110.19999999999999"/>
    <n v="0.86666666666666703"/>
    <n v="0"/>
    <n v="0"/>
    <n v="0"/>
    <x v="3"/>
    <x v="4"/>
  </r>
  <r>
    <s v="EMP0933"/>
    <x v="373"/>
    <x v="2"/>
    <n v="677831"/>
    <n v="67939"/>
    <n v="74561"/>
    <n v="15"/>
    <n v="96.199999999999989"/>
    <n v="0.8"/>
    <n v="0"/>
    <n v="0"/>
    <n v="0"/>
    <x v="3"/>
    <x v="4"/>
  </r>
  <r>
    <s v="EMP0934"/>
    <x v="86"/>
    <x v="9"/>
    <n v="615321"/>
    <n v="47246"/>
    <n v="67685"/>
    <n v="14"/>
    <n v="111"/>
    <n v="0.92857142857142905"/>
    <n v="3"/>
    <n v="1"/>
    <n v="0"/>
    <x v="3"/>
    <x v="4"/>
  </r>
  <r>
    <s v="EMP0935"/>
    <x v="358"/>
    <x v="4"/>
    <n v="449659"/>
    <n v="72644"/>
    <n v="49462"/>
    <n v="15"/>
    <n v="95.699999999999989"/>
    <n v="0.66666666666666696"/>
    <n v="0"/>
    <n v="0"/>
    <n v="0"/>
    <x v="3"/>
    <x v="4"/>
  </r>
  <r>
    <s v="EMP0936"/>
    <x v="374"/>
    <x v="9"/>
    <n v="361768"/>
    <n v="51137"/>
    <n v="39794"/>
    <n v="15"/>
    <n v="104.79999999999998"/>
    <n v="0.73333333333333295"/>
    <n v="0"/>
    <n v="0"/>
    <n v="0"/>
    <x v="3"/>
    <x v="4"/>
  </r>
  <r>
    <s v="EMP0937"/>
    <x v="340"/>
    <x v="6"/>
    <n v="820337"/>
    <n v="69159"/>
    <n v="90237"/>
    <n v="15"/>
    <n v="96.6"/>
    <n v="0.66666666666666696"/>
    <n v="3"/>
    <n v="1"/>
    <n v="0"/>
    <x v="3"/>
    <x v="4"/>
  </r>
  <r>
    <s v="EMP0938"/>
    <x v="79"/>
    <x v="5"/>
    <n v="261032"/>
    <n v="16219"/>
    <m/>
    <n v="15"/>
    <n v="85.200000000000017"/>
    <n v="0.6"/>
    <n v="0"/>
    <n v="0"/>
    <n v="0"/>
    <x v="3"/>
    <x v="4"/>
  </r>
  <r>
    <s v="EMP0939"/>
    <x v="143"/>
    <x v="0"/>
    <n v="393510"/>
    <n v="70567"/>
    <n v="43286"/>
    <n v="15"/>
    <n v="111.99999999999999"/>
    <n v="0.86666666666666703"/>
    <n v="8"/>
    <n v="1"/>
    <n v="0"/>
    <x v="3"/>
    <x v="4"/>
  </r>
  <r>
    <s v="EMP0940"/>
    <x v="126"/>
    <x v="7"/>
    <n v="491950"/>
    <n v="65344"/>
    <n v="54114"/>
    <n v="15"/>
    <n v="105.6"/>
    <n v="0.86666666666666703"/>
    <n v="0"/>
    <n v="0"/>
    <n v="0"/>
    <x v="3"/>
    <x v="4"/>
  </r>
  <r>
    <s v="EMP0941"/>
    <x v="129"/>
    <x v="5"/>
    <n v="629213"/>
    <n v="68343"/>
    <n v="69213"/>
    <n v="15"/>
    <n v="93.2"/>
    <n v="0.66666666666666696"/>
    <n v="0"/>
    <n v="0"/>
    <n v="0"/>
    <x v="3"/>
    <x v="4"/>
  </r>
  <r>
    <s v="EMP0942"/>
    <x v="272"/>
    <x v="0"/>
    <n v="453564"/>
    <n v="45268"/>
    <n v="49892"/>
    <n v="15"/>
    <n v="93.899999999999991"/>
    <n v="0.8"/>
    <n v="6"/>
    <n v="1"/>
    <n v="0"/>
    <x v="3"/>
    <x v="4"/>
  </r>
  <r>
    <s v="EMP0943"/>
    <x v="266"/>
    <x v="10"/>
    <n v="649863"/>
    <n v="29193"/>
    <n v="71485"/>
    <n v="14"/>
    <n v="69.099999999999994"/>
    <n v="0.42857142857142899"/>
    <n v="7"/>
    <n v="1"/>
    <n v="0"/>
    <x v="3"/>
    <x v="4"/>
  </r>
  <r>
    <s v="EMP0944"/>
    <x v="153"/>
    <x v="0"/>
    <n v="242805"/>
    <n v="53449"/>
    <n v="26709"/>
    <n v="15"/>
    <n v="96.899999999999977"/>
    <n v="0.66666666666666696"/>
    <n v="7"/>
    <n v="1"/>
    <n v="0"/>
    <x v="3"/>
    <x v="4"/>
  </r>
  <r>
    <s v="EMP0945"/>
    <x v="365"/>
    <x v="3"/>
    <n v="441209"/>
    <n v="37694"/>
    <n v="48533"/>
    <n v="15"/>
    <n v="96.4"/>
    <n v="0.73333333333333295"/>
    <n v="0"/>
    <n v="0"/>
    <n v="0"/>
    <x v="3"/>
    <x v="4"/>
  </r>
  <r>
    <s v="EMP0946"/>
    <x v="375"/>
    <x v="3"/>
    <n v="245323"/>
    <n v="20449"/>
    <n v="26986"/>
    <n v="15"/>
    <n v="112.09999999999998"/>
    <n v="0.86666666666666703"/>
    <n v="0"/>
    <n v="0"/>
    <n v="0"/>
    <x v="3"/>
    <x v="4"/>
  </r>
  <r>
    <s v="EMP0947"/>
    <x v="280"/>
    <x v="0"/>
    <n v="456558"/>
    <n v="37324"/>
    <n v="50221"/>
    <n v="15"/>
    <n v="93.999999999999986"/>
    <n v="0.73333333333333295"/>
    <n v="0"/>
    <n v="0"/>
    <n v="0"/>
    <x v="3"/>
    <x v="4"/>
  </r>
  <r>
    <s v="EMP0948"/>
    <x v="159"/>
    <x v="0"/>
    <n v="733132"/>
    <n v="88499"/>
    <n v="80645"/>
    <n v="15"/>
    <n v="100.79999999999998"/>
    <n v="0.86666666666666703"/>
    <n v="0"/>
    <n v="0"/>
    <n v="0"/>
    <x v="3"/>
    <x v="4"/>
  </r>
  <r>
    <s v="EMP0949"/>
    <x v="97"/>
    <x v="7"/>
    <n v="393107"/>
    <n v="64274"/>
    <n v="43242"/>
    <n v="15"/>
    <n v="95.899999999999977"/>
    <n v="0.8"/>
    <n v="0"/>
    <n v="0"/>
    <n v="0"/>
    <x v="3"/>
    <x v="4"/>
  </r>
  <r>
    <s v="EMP0950"/>
    <x v="319"/>
    <x v="0"/>
    <n v="731488"/>
    <n v="50896"/>
    <n v="80464"/>
    <n v="15"/>
    <n v="106"/>
    <n v="0.8"/>
    <n v="6"/>
    <n v="1"/>
    <n v="0"/>
    <x v="3"/>
    <x v="4"/>
  </r>
  <r>
    <s v="EMP0951"/>
    <x v="224"/>
    <x v="2"/>
    <n v="491651"/>
    <n v="40461"/>
    <n v="54082"/>
    <n v="15"/>
    <n v="80.900000000000006"/>
    <n v="0.66666666666666696"/>
    <n v="0"/>
    <n v="0"/>
    <n v="0"/>
    <x v="3"/>
    <x v="4"/>
  </r>
  <r>
    <s v="EMP0952"/>
    <x v="291"/>
    <x v="1"/>
    <n v="359893"/>
    <n v="79385"/>
    <n v="39588"/>
    <n v="15"/>
    <n v="114.3"/>
    <n v="0.86666666666666703"/>
    <n v="0"/>
    <n v="0"/>
    <n v="0"/>
    <x v="3"/>
    <x v="4"/>
  </r>
  <r>
    <s v="EMP0953"/>
    <x v="190"/>
    <x v="3"/>
    <n v="516995"/>
    <n v="72236"/>
    <n v="56869"/>
    <n v="15"/>
    <n v="119.30000000000001"/>
    <n v="0.73333333333333295"/>
    <n v="11"/>
    <n v="1"/>
    <n v="0"/>
    <x v="3"/>
    <x v="4"/>
  </r>
  <r>
    <s v="EMP0954"/>
    <x v="69"/>
    <x v="1"/>
    <n v="611359"/>
    <n v="50080"/>
    <n v="67249"/>
    <n v="15"/>
    <n v="106.5"/>
    <n v="0.6"/>
    <n v="3"/>
    <n v="1"/>
    <n v="0"/>
    <x v="3"/>
    <x v="4"/>
  </r>
  <r>
    <s v="EMP0955"/>
    <x v="0"/>
    <x v="5"/>
    <n v="780463"/>
    <n v="60153"/>
    <n v="85851"/>
    <n v="15"/>
    <n v="109.00000000000001"/>
    <n v="0.8"/>
    <n v="0"/>
    <n v="0"/>
    <n v="0"/>
    <x v="3"/>
    <x v="4"/>
  </r>
  <r>
    <s v="EMP0956"/>
    <x v="348"/>
    <x v="9"/>
    <n v="629693"/>
    <n v="6633"/>
    <n v="69266"/>
    <n v="15"/>
    <n v="105.2"/>
    <n v="0.66666666666666696"/>
    <n v="0"/>
    <n v="0"/>
    <n v="0"/>
    <x v="3"/>
    <x v="4"/>
  </r>
  <r>
    <s v="EMP0957"/>
    <x v="78"/>
    <x v="3"/>
    <n v="499228"/>
    <n v="61609"/>
    <n v="54915"/>
    <n v="15"/>
    <n v="95.7"/>
    <n v="0.66666666666666696"/>
    <n v="4"/>
    <n v="1"/>
    <n v="0"/>
    <x v="3"/>
    <x v="4"/>
  </r>
  <r>
    <s v="EMP0958"/>
    <x v="376"/>
    <x v="4"/>
    <n v="365790"/>
    <n v="47708"/>
    <n v="40237"/>
    <n v="15"/>
    <n v="102.5"/>
    <n v="0.73333333333333295"/>
    <n v="4"/>
    <n v="1"/>
    <n v="0"/>
    <x v="3"/>
    <x v="4"/>
  </r>
  <r>
    <s v="EMP0959"/>
    <x v="83"/>
    <x v="7"/>
    <n v="603490"/>
    <n v="60239"/>
    <n v="66384"/>
    <n v="15"/>
    <n v="104.6"/>
    <n v="0.6"/>
    <n v="10"/>
    <n v="1"/>
    <n v="0"/>
    <x v="3"/>
    <x v="4"/>
  </r>
  <r>
    <s v="EMP0960"/>
    <x v="23"/>
    <x v="4"/>
    <n v="311294"/>
    <n v="48746"/>
    <n v="34242"/>
    <n v="15"/>
    <n v="108.19999999999999"/>
    <n v="0.73333333333333295"/>
    <n v="0"/>
    <n v="0"/>
    <n v="0"/>
    <x v="3"/>
    <x v="4"/>
  </r>
  <r>
    <s v="EMP0961"/>
    <x v="153"/>
    <x v="3"/>
    <n v="489064"/>
    <n v="6544"/>
    <n v="53797"/>
    <n v="15"/>
    <n v="87.199999999999989"/>
    <n v="0.6"/>
    <n v="0"/>
    <n v="0"/>
    <n v="0"/>
    <x v="3"/>
    <x v="4"/>
  </r>
  <r>
    <s v="EMP0962"/>
    <x v="125"/>
    <x v="1"/>
    <n v="294337"/>
    <n v="16188"/>
    <n v="32377"/>
    <n v="15"/>
    <n v="104.09999999999998"/>
    <n v="0.73333333333333295"/>
    <n v="0"/>
    <n v="0"/>
    <n v="0"/>
    <x v="3"/>
    <x v="4"/>
  </r>
  <r>
    <s v="EMP0963"/>
    <x v="107"/>
    <x v="0"/>
    <n v="299676"/>
    <n v="40947"/>
    <n v="32964"/>
    <n v="15"/>
    <n v="106.9"/>
    <n v="0.8"/>
    <n v="4"/>
    <n v="1"/>
    <n v="0"/>
    <x v="3"/>
    <x v="4"/>
  </r>
  <r>
    <s v="EMP0964"/>
    <x v="97"/>
    <x v="0"/>
    <n v="537161"/>
    <n v="8109"/>
    <n v="59088"/>
    <n v="15"/>
    <n v="95.399999999999991"/>
    <n v="0.46666666666666701"/>
    <n v="3"/>
    <n v="1"/>
    <n v="0"/>
    <x v="3"/>
    <x v="4"/>
  </r>
  <r>
    <s v="EMP0965"/>
    <x v="266"/>
    <x v="3"/>
    <n v="413508"/>
    <n v="2000"/>
    <n v="45486"/>
    <n v="15"/>
    <n v="103.2"/>
    <n v="0.66666666666666696"/>
    <n v="0"/>
    <n v="0"/>
    <n v="0"/>
    <x v="3"/>
    <x v="4"/>
  </r>
  <r>
    <s v="EMP0966"/>
    <x v="371"/>
    <x v="7"/>
    <n v="223452"/>
    <n v="58524"/>
    <m/>
    <n v="14"/>
    <n v="100.10000000000001"/>
    <n v="0.85714285714285698"/>
    <n v="10"/>
    <n v="1"/>
    <n v="0"/>
    <x v="3"/>
    <x v="4"/>
  </r>
  <r>
    <s v="EMP0967"/>
    <x v="242"/>
    <x v="9"/>
    <n v="686387"/>
    <n v="64762"/>
    <n v="75503"/>
    <n v="15"/>
    <n v="95"/>
    <n v="0.73333333333333295"/>
    <n v="0"/>
    <n v="0"/>
    <n v="0"/>
    <x v="3"/>
    <x v="4"/>
  </r>
  <r>
    <s v="EMP0968"/>
    <x v="53"/>
    <x v="1"/>
    <n v="693524"/>
    <n v="87787"/>
    <n v="76288"/>
    <n v="15"/>
    <n v="89.7"/>
    <n v="0.66666666666666696"/>
    <n v="0"/>
    <n v="0"/>
    <n v="0"/>
    <x v="3"/>
    <x v="4"/>
  </r>
  <r>
    <s v="EMP0969"/>
    <x v="377"/>
    <x v="2"/>
    <n v="450959"/>
    <n v="40548"/>
    <n v="49605"/>
    <n v="15"/>
    <n v="89.2"/>
    <n v="0.73333333333333295"/>
    <n v="9"/>
    <n v="1"/>
    <n v="0"/>
    <x v="3"/>
    <x v="4"/>
  </r>
  <r>
    <s v="EMP0970"/>
    <x v="214"/>
    <x v="5"/>
    <n v="575296"/>
    <n v="56955"/>
    <n v="63283"/>
    <n v="15"/>
    <n v="97.6"/>
    <n v="0.73333333333333295"/>
    <n v="0"/>
    <n v="0"/>
    <n v="0"/>
    <x v="3"/>
    <x v="4"/>
  </r>
  <r>
    <s v="EMP0971"/>
    <x v="229"/>
    <x v="10"/>
    <n v="530415"/>
    <n v="3427"/>
    <n v="58346"/>
    <n v="15"/>
    <n v="107"/>
    <n v="0.8"/>
    <n v="0"/>
    <n v="0"/>
    <n v="0"/>
    <x v="3"/>
    <x v="4"/>
  </r>
  <r>
    <s v="EMP0972"/>
    <x v="198"/>
    <x v="4"/>
    <n v="482905"/>
    <n v="63373"/>
    <n v="53120"/>
    <n v="15"/>
    <n v="88.1"/>
    <n v="0.53333333333333299"/>
    <n v="14"/>
    <n v="1"/>
    <n v="0"/>
    <x v="3"/>
    <x v="4"/>
  </r>
  <r>
    <s v="EMP0973"/>
    <x v="187"/>
    <x v="4"/>
    <n v="229006"/>
    <n v="44554"/>
    <n v="25191"/>
    <n v="15"/>
    <n v="112.69999999999999"/>
    <n v="0.73333333333333295"/>
    <n v="0"/>
    <n v="0"/>
    <n v="0"/>
    <x v="3"/>
    <x v="4"/>
  </r>
  <r>
    <s v="EMP0974"/>
    <x v="270"/>
    <x v="8"/>
    <n v="360708"/>
    <n v="52961"/>
    <n v="39678"/>
    <n v="15"/>
    <n v="116.29999999999998"/>
    <n v="0.93333333333333302"/>
    <n v="13"/>
    <n v="1"/>
    <n v="0"/>
    <x v="3"/>
    <x v="4"/>
  </r>
  <r>
    <s v="EMP0975"/>
    <x v="135"/>
    <x v="5"/>
    <n v="285020"/>
    <n v="3420"/>
    <n v="31352"/>
    <n v="15"/>
    <n v="111.9"/>
    <n v="0.86666666666666703"/>
    <n v="0"/>
    <n v="0"/>
    <n v="0"/>
    <x v="3"/>
    <x v="4"/>
  </r>
  <r>
    <s v="EMP0976"/>
    <x v="57"/>
    <x v="1"/>
    <n v="540804"/>
    <n v="51273"/>
    <n v="59488"/>
    <n v="15"/>
    <n v="106"/>
    <n v="0.6"/>
    <n v="0"/>
    <n v="0"/>
    <n v="0"/>
    <x v="3"/>
    <x v="4"/>
  </r>
  <r>
    <s v="EMP0977"/>
    <x v="326"/>
    <x v="7"/>
    <n v="625910"/>
    <n v="37932"/>
    <n v="68850"/>
    <n v="15"/>
    <n v="104.19999999999999"/>
    <n v="0.8"/>
    <n v="3"/>
    <n v="1"/>
    <n v="0"/>
    <x v="3"/>
    <x v="4"/>
  </r>
  <r>
    <s v="EMP0978"/>
    <x v="329"/>
    <x v="3"/>
    <n v="493619"/>
    <n v="49994"/>
    <n v="54298"/>
    <n v="15"/>
    <n v="111.10000000000001"/>
    <n v="0.8"/>
    <n v="0"/>
    <n v="0"/>
    <n v="0"/>
    <x v="3"/>
    <x v="4"/>
  </r>
  <r>
    <s v="EMP0979"/>
    <x v="43"/>
    <x v="2"/>
    <n v="408548"/>
    <n v="5358"/>
    <n v="44940"/>
    <n v="15"/>
    <n v="86.8"/>
    <n v="0.66666666666666696"/>
    <n v="0"/>
    <n v="0"/>
    <n v="0"/>
    <x v="3"/>
    <x v="4"/>
  </r>
  <r>
    <s v="EMP0980"/>
    <x v="159"/>
    <x v="6"/>
    <n v="849588"/>
    <n v="86324"/>
    <n v="93455"/>
    <n v="15"/>
    <n v="121.20000000000003"/>
    <n v="0.73333333333333295"/>
    <n v="0"/>
    <n v="0"/>
    <n v="0"/>
    <x v="3"/>
    <x v="4"/>
  </r>
  <r>
    <s v="EMP0981"/>
    <x v="295"/>
    <x v="3"/>
    <n v="561964"/>
    <n v="31318"/>
    <n v="61816"/>
    <n v="15"/>
    <n v="71.600000000000009"/>
    <n v="0.6"/>
    <n v="0"/>
    <n v="0"/>
    <n v="0"/>
    <x v="3"/>
    <x v="4"/>
  </r>
  <r>
    <s v="EMP0982"/>
    <x v="353"/>
    <x v="10"/>
    <n v="373998"/>
    <n v="37814"/>
    <n v="41140"/>
    <n v="15"/>
    <n v="121"/>
    <n v="1"/>
    <n v="0"/>
    <n v="0"/>
    <n v="0"/>
    <x v="3"/>
    <x v="4"/>
  </r>
  <r>
    <s v="EMP0983"/>
    <x v="110"/>
    <x v="3"/>
    <n v="699774"/>
    <n v="82548"/>
    <n v="76975"/>
    <n v="15"/>
    <n v="102.4"/>
    <n v="0.73333333333333295"/>
    <n v="0"/>
    <n v="0"/>
    <n v="0"/>
    <x v="3"/>
    <x v="4"/>
  </r>
  <r>
    <s v="EMP0984"/>
    <x v="307"/>
    <x v="4"/>
    <n v="809938"/>
    <n v="38128"/>
    <n v="89093"/>
    <n v="15"/>
    <n v="121.89999999999999"/>
    <n v="0.86666666666666703"/>
    <n v="3"/>
    <n v="1"/>
    <n v="0"/>
    <x v="3"/>
    <x v="4"/>
  </r>
  <r>
    <s v="EMP0985"/>
    <x v="267"/>
    <x v="10"/>
    <n v="451710"/>
    <n v="43604"/>
    <n v="49688"/>
    <n v="15"/>
    <n v="101.29999999999998"/>
    <n v="0.6"/>
    <n v="0"/>
    <n v="0"/>
    <n v="0"/>
    <x v="3"/>
    <x v="4"/>
  </r>
  <r>
    <s v="EMP0986"/>
    <x v="197"/>
    <x v="6"/>
    <n v="571528"/>
    <n v="48926"/>
    <n v="62868"/>
    <n v="15"/>
    <n v="114.80000000000001"/>
    <n v="0.93333333333333302"/>
    <n v="9"/>
    <n v="1"/>
    <n v="0"/>
    <x v="3"/>
    <x v="4"/>
  </r>
  <r>
    <s v="EMP0987"/>
    <x v="152"/>
    <x v="6"/>
    <n v="772950"/>
    <n v="16078"/>
    <n v="85024"/>
    <n v="15"/>
    <n v="119"/>
    <n v="0.93333333333333302"/>
    <n v="0"/>
    <n v="0"/>
    <n v="0"/>
    <x v="3"/>
    <x v="4"/>
  </r>
  <r>
    <s v="EMP0988"/>
    <x v="216"/>
    <x v="9"/>
    <n v="778604"/>
    <n v="80780"/>
    <n v="85646"/>
    <n v="15"/>
    <n v="78.5"/>
    <n v="0.6"/>
    <n v="8"/>
    <n v="1"/>
    <n v="0"/>
    <x v="3"/>
    <x v="4"/>
  </r>
  <r>
    <s v="EMP0989"/>
    <x v="360"/>
    <x v="6"/>
    <n v="609577"/>
    <n v="47856"/>
    <n v="67053"/>
    <n v="15"/>
    <n v="101.99999999999999"/>
    <n v="0.73333333333333295"/>
    <n v="0"/>
    <n v="0"/>
    <n v="0"/>
    <x v="3"/>
    <x v="4"/>
  </r>
  <r>
    <s v="EMP0990"/>
    <x v="232"/>
    <x v="3"/>
    <n v="817162"/>
    <n v="82058"/>
    <n v="89888"/>
    <n v="15"/>
    <n v="93.399999999999991"/>
    <n v="0.6"/>
    <n v="0"/>
    <n v="0"/>
    <n v="0"/>
    <x v="3"/>
    <x v="4"/>
  </r>
  <r>
    <s v="EMP0991"/>
    <x v="179"/>
    <x v="2"/>
    <n v="333157"/>
    <n v="42539"/>
    <n v="36647"/>
    <n v="15"/>
    <n v="111.2"/>
    <n v="0.86666666666666703"/>
    <n v="0"/>
    <n v="0"/>
    <n v="0"/>
    <x v="3"/>
    <x v="4"/>
  </r>
  <r>
    <s v="EMP0992"/>
    <x v="322"/>
    <x v="4"/>
    <n v="273147"/>
    <n v="49136"/>
    <n v="30046"/>
    <n v="14"/>
    <n v="77.399999999999991"/>
    <n v="0.64285714285714302"/>
    <n v="2"/>
    <n v="1"/>
    <n v="0"/>
    <x v="3"/>
    <x v="4"/>
  </r>
  <r>
    <s v="EMP0993"/>
    <x v="101"/>
    <x v="3"/>
    <n v="497081"/>
    <n v="9668"/>
    <n v="54679"/>
    <n v="15"/>
    <n v="109.80000000000003"/>
    <n v="0.86666666666666703"/>
    <n v="0"/>
    <n v="0"/>
    <n v="0"/>
    <x v="3"/>
    <x v="4"/>
  </r>
  <r>
    <s v="EMP0994"/>
    <x v="48"/>
    <x v="9"/>
    <n v="492660"/>
    <n v="16444"/>
    <n v="54193"/>
    <n v="15"/>
    <n v="107"/>
    <n v="0.73333333333333295"/>
    <n v="0"/>
    <n v="0"/>
    <n v="0"/>
    <x v="3"/>
    <x v="4"/>
  </r>
  <r>
    <s v="EMP0995"/>
    <x v="306"/>
    <x v="10"/>
    <n v="796182"/>
    <n v="81004"/>
    <n v="87580"/>
    <n v="15"/>
    <n v="121.89999999999999"/>
    <n v="0.73333333333333295"/>
    <n v="14"/>
    <n v="1"/>
    <n v="0"/>
    <x v="3"/>
    <x v="4"/>
  </r>
  <r>
    <s v="EMP0996"/>
    <x v="91"/>
    <x v="4"/>
    <n v="835804"/>
    <n v="57256"/>
    <n v="91938"/>
    <n v="15"/>
    <n v="95.700000000000017"/>
    <n v="0.8"/>
    <n v="0"/>
    <n v="0"/>
    <n v="0"/>
    <x v="3"/>
    <x v="4"/>
  </r>
  <r>
    <s v="EMP0997"/>
    <x v="14"/>
    <x v="7"/>
    <n v="720675"/>
    <n v="34856"/>
    <n v="79274"/>
    <n v="15"/>
    <n v="84.5"/>
    <n v="0.53333333333333299"/>
    <n v="0"/>
    <n v="0"/>
    <n v="0"/>
    <x v="3"/>
    <x v="4"/>
  </r>
  <r>
    <s v="EMP0998"/>
    <x v="294"/>
    <x v="5"/>
    <n v="560973"/>
    <n v="3073"/>
    <n v="61707"/>
    <n v="15"/>
    <n v="113.8"/>
    <n v="0.73333333333333295"/>
    <n v="14"/>
    <n v="1"/>
    <n v="0"/>
    <x v="3"/>
    <x v="4"/>
  </r>
  <r>
    <s v="EMP0999"/>
    <x v="68"/>
    <x v="1"/>
    <n v="708514"/>
    <n v="88613"/>
    <n v="77937"/>
    <n v="15"/>
    <n v="77"/>
    <n v="0.6"/>
    <n v="13"/>
    <n v="1"/>
    <n v="0"/>
    <x v="3"/>
    <x v="4"/>
  </r>
  <r>
    <s v="EMP1000"/>
    <x v="8"/>
    <x v="1"/>
    <n v="776688"/>
    <n v="72961"/>
    <n v="85436"/>
    <n v="14"/>
    <n v="104.2"/>
    <n v="0.71428571428571397"/>
    <n v="14"/>
    <n v="1"/>
    <n v="0"/>
    <x v="3"/>
    <x v="4"/>
  </r>
  <r>
    <s v="EMPX999"/>
    <x v="378"/>
    <x v="1"/>
    <n v="300000"/>
    <n v="0"/>
    <m/>
    <m/>
    <m/>
    <m/>
    <n v="0"/>
    <n v="0"/>
    <n v="0"/>
    <x v="3"/>
    <x v="4"/>
  </r>
  <r>
    <m/>
    <x v="379"/>
    <x v="11"/>
    <m/>
    <m/>
    <m/>
    <m/>
    <m/>
    <m/>
    <m/>
    <m/>
    <m/>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77523-9C9B-4146-84BE-CB102AC8A47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10:E16" firstHeaderRow="1" firstDataRow="1" firstDataCol="1"/>
  <pivotFields count="14">
    <pivotField dataField="1" showAll="0"/>
    <pivotField showAll="0"/>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axis="axisRow" showAll="0" sortType="descending">
      <items count="7">
        <item x="3"/>
        <item x="1"/>
        <item x="2"/>
        <item x="4"/>
        <item x="0"/>
        <item h="1" x="5"/>
        <item t="default"/>
      </items>
      <autoSortScope>
        <pivotArea dataOnly="0" outline="0" fieldPosition="0">
          <references count="1">
            <reference field="4294967294" count="1" selected="0">
              <x v="0"/>
            </reference>
          </references>
        </pivotArea>
      </autoSortScope>
    </pivotField>
  </pivotFields>
  <rowFields count="1">
    <field x="13"/>
  </rowFields>
  <rowItems count="6">
    <i>
      <x v="3"/>
    </i>
    <i>
      <x v="2"/>
    </i>
    <i>
      <x v="1"/>
    </i>
    <i>
      <x v="4"/>
    </i>
    <i>
      <x/>
    </i>
    <i t="grand">
      <x/>
    </i>
  </rowItems>
  <colItems count="1">
    <i/>
  </colItems>
  <dataFields count="1">
    <dataField name="Count of EmployeeID" fld="0" subtotal="count" baseField="0" baseItem="0"/>
  </dataFields>
  <formats count="2">
    <format dxfId="1">
      <pivotArea grandRow="1"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25AA6-AE55-40E0-821B-1F0617FBC479}" name="Total Payrol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4">
    <pivotField showAll="0"/>
    <pivotField showAll="0"/>
    <pivotField showAll="0">
      <items count="15">
        <item x="8"/>
        <item m="1" x="12"/>
        <item x="1"/>
        <item x="6"/>
        <item m="1" x="13"/>
        <item x="5"/>
        <item x="9"/>
        <item x="4"/>
        <item x="3"/>
        <item x="10"/>
        <item x="2"/>
        <item x="0"/>
        <item x="7"/>
        <item x="11"/>
        <item t="default"/>
      </items>
    </pivotField>
    <pivotField dataField="1"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Total Payroll" fld="3"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1E856-704E-4A72-9791-4A6444A8143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B22" firstHeaderRow="1" firstDataRow="1" firstDataCol="1"/>
  <pivotFields count="14">
    <pivotField dataField="1" showAll="0"/>
    <pivotField showAll="0"/>
    <pivotField axis="axisRow" showAll="0" sortType="descending">
      <items count="15">
        <item m="1" x="12"/>
        <item x="1"/>
        <item m="1" x="13"/>
        <item x="5"/>
        <item x="9"/>
        <item x="4"/>
        <item x="3"/>
        <item x="10"/>
        <item x="2"/>
        <item x="0"/>
        <item x="7"/>
        <item x="1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Fields count="1">
    <field x="2"/>
  </rowFields>
  <rowItems count="12">
    <i>
      <x v="6"/>
    </i>
    <i>
      <x v="9"/>
    </i>
    <i>
      <x v="8"/>
    </i>
    <i>
      <x v="1"/>
    </i>
    <i>
      <x v="12"/>
    </i>
    <i>
      <x v="3"/>
    </i>
    <i>
      <x v="10"/>
    </i>
    <i>
      <x v="4"/>
    </i>
    <i>
      <x v="13"/>
    </i>
    <i>
      <x v="5"/>
    </i>
    <i>
      <x v="7"/>
    </i>
    <i t="grand">
      <x/>
    </i>
  </rowItems>
  <colItems count="1">
    <i/>
  </colItems>
  <dataFields count="1">
    <dataField name="Count of EmployeeID" fld="0" subtotal="count" baseField="0" baseItem="0"/>
  </dataFields>
  <formats count="4">
    <format dxfId="6">
      <pivotArea outline="0" collapsedLevelsAreSubtotals="1" fieldPosition="0"/>
    </format>
    <format dxfId="5">
      <pivotArea collapsedLevelsAreSubtotals="1" fieldPosition="0">
        <references count="1">
          <reference field="2" count="1">
            <x v="0"/>
          </reference>
        </references>
      </pivotArea>
    </format>
    <format dxfId="4">
      <pivotArea collapsedLevelsAreSubtotals="1" fieldPosition="0">
        <references count="1">
          <reference field="2" count="11">
            <x v="1"/>
            <x v="2"/>
            <x v="3"/>
            <x v="4"/>
            <x v="5"/>
            <x v="6"/>
            <x v="7"/>
            <x v="8"/>
            <x v="9"/>
            <x v="10"/>
            <x v="11"/>
          </reference>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91CBB-7732-4B2D-B5CF-A1A75C7C1105}"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34:E40" firstHeaderRow="1" firstDataRow="1" firstDataCol="1"/>
  <pivotFields count="14">
    <pivotField showAll="0"/>
    <pivotField axis="axisRow" showAll="0" measureFilter="1" sortType="descending">
      <items count="381">
        <item x="379"/>
        <item x="184"/>
        <item x="255"/>
        <item x="78"/>
        <item x="236"/>
        <item x="70"/>
        <item x="138"/>
        <item x="327"/>
        <item x="376"/>
        <item x="117"/>
        <item x="341"/>
        <item x="111"/>
        <item x="134"/>
        <item x="270"/>
        <item x="374"/>
        <item x="306"/>
        <item x="183"/>
        <item x="172"/>
        <item x="333"/>
        <item x="310"/>
        <item x="180"/>
        <item x="144"/>
        <item x="40"/>
        <item x="163"/>
        <item x="133"/>
        <item x="314"/>
        <item x="26"/>
        <item x="66"/>
        <item x="205"/>
        <item x="359"/>
        <item x="302"/>
        <item x="147"/>
        <item x="174"/>
        <item x="189"/>
        <item x="17"/>
        <item x="366"/>
        <item x="154"/>
        <item x="126"/>
        <item x="38"/>
        <item x="224"/>
        <item x="198"/>
        <item x="257"/>
        <item x="60"/>
        <item x="166"/>
        <item x="229"/>
        <item x="336"/>
        <item x="216"/>
        <item x="0"/>
        <item x="319"/>
        <item x="244"/>
        <item x="354"/>
        <item x="82"/>
        <item x="80"/>
        <item x="33"/>
        <item x="261"/>
        <item x="363"/>
        <item x="289"/>
        <item x="155"/>
        <item x="165"/>
        <item x="250"/>
        <item x="218"/>
        <item x="7"/>
        <item x="92"/>
        <item x="279"/>
        <item x="121"/>
        <item x="48"/>
        <item x="128"/>
        <item x="87"/>
        <item x="256"/>
        <item x="241"/>
        <item x="238"/>
        <item x="177"/>
        <item x="297"/>
        <item x="337"/>
        <item x="251"/>
        <item x="209"/>
        <item x="51"/>
        <item x="193"/>
        <item x="351"/>
        <item x="240"/>
        <item x="296"/>
        <item x="58"/>
        <item x="252"/>
        <item x="3"/>
        <item x="13"/>
        <item x="258"/>
        <item x="281"/>
        <item x="113"/>
        <item x="127"/>
        <item x="178"/>
        <item x="170"/>
        <item x="63"/>
        <item x="271"/>
        <item x="86"/>
        <item x="16"/>
        <item x="260"/>
        <item x="320"/>
        <item x="342"/>
        <item x="188"/>
        <item x="343"/>
        <item x="74"/>
        <item x="269"/>
        <item x="35"/>
        <item x="99"/>
        <item x="72"/>
        <item x="149"/>
        <item x="1"/>
        <item x="77"/>
        <item x="308"/>
        <item x="331"/>
        <item x="97"/>
        <item x="141"/>
        <item x="249"/>
        <item x="55"/>
        <item x="96"/>
        <item x="28"/>
        <item x="220"/>
        <item x="228"/>
        <item x="239"/>
        <item x="57"/>
        <item x="114"/>
        <item x="105"/>
        <item x="332"/>
        <item x="130"/>
        <item x="135"/>
        <item x="137"/>
        <item x="104"/>
        <item x="61"/>
        <item x="242"/>
        <item x="287"/>
        <item x="122"/>
        <item x="307"/>
        <item x="282"/>
        <item x="315"/>
        <item x="290"/>
        <item x="90"/>
        <item x="235"/>
        <item x="329"/>
        <item x="208"/>
        <item x="233"/>
        <item x="294"/>
        <item x="83"/>
        <item x="131"/>
        <item x="32"/>
        <item x="69"/>
        <item x="159"/>
        <item x="139"/>
        <item x="360"/>
        <item x="309"/>
        <item x="81"/>
        <item x="160"/>
        <item x="132"/>
        <item x="14"/>
        <item x="365"/>
        <item x="175"/>
        <item x="29"/>
        <item x="299"/>
        <item x="349"/>
        <item x="225"/>
        <item x="285"/>
        <item x="164"/>
        <item x="311"/>
        <item x="345"/>
        <item x="45"/>
        <item x="203"/>
        <item x="151"/>
        <item x="185"/>
        <item x="53"/>
        <item x="62"/>
        <item x="295"/>
        <item x="5"/>
        <item x="157"/>
        <item x="371"/>
        <item x="34"/>
        <item x="199"/>
        <item x="195"/>
        <item x="223"/>
        <item x="68"/>
        <item x="358"/>
        <item x="100"/>
        <item x="353"/>
        <item x="148"/>
        <item x="317"/>
        <item x="254"/>
        <item x="27"/>
        <item x="361"/>
        <item x="41"/>
        <item x="312"/>
        <item x="89"/>
        <item x="179"/>
        <item x="378"/>
        <item x="338"/>
        <item x="247"/>
        <item x="201"/>
        <item x="191"/>
        <item x="84"/>
        <item x="214"/>
        <item x="204"/>
        <item x="76"/>
        <item x="31"/>
        <item x="288"/>
        <item x="347"/>
        <item x="346"/>
        <item x="356"/>
        <item x="278"/>
        <item x="181"/>
        <item x="25"/>
        <item x="146"/>
        <item x="335"/>
        <item x="136"/>
        <item x="112"/>
        <item x="6"/>
        <item x="95"/>
        <item x="46"/>
        <item x="143"/>
        <item x="67"/>
        <item x="56"/>
        <item x="369"/>
        <item x="268"/>
        <item x="123"/>
        <item x="79"/>
        <item x="153"/>
        <item x="107"/>
        <item x="108"/>
        <item x="20"/>
        <item x="21"/>
        <item x="213"/>
        <item x="197"/>
        <item x="118"/>
        <item x="24"/>
        <item x="37"/>
        <item x="373"/>
        <item x="303"/>
        <item x="245"/>
        <item x="212"/>
        <item x="370"/>
        <item x="334"/>
        <item x="192"/>
        <item x="234"/>
        <item x="304"/>
        <item x="44"/>
        <item x="300"/>
        <item x="322"/>
        <item x="49"/>
        <item x="91"/>
        <item x="355"/>
        <item x="372"/>
        <item x="73"/>
        <item x="227"/>
        <item x="237"/>
        <item x="85"/>
        <item x="176"/>
        <item x="324"/>
        <item x="54"/>
        <item x="267"/>
        <item x="352"/>
        <item x="207"/>
        <item x="15"/>
        <item x="167"/>
        <item x="125"/>
        <item x="8"/>
        <item x="106"/>
        <item x="368"/>
        <item x="313"/>
        <item x="350"/>
        <item x="186"/>
        <item x="10"/>
        <item x="219"/>
        <item x="284"/>
        <item x="4"/>
        <item x="103"/>
        <item x="71"/>
        <item x="221"/>
        <item x="169"/>
        <item x="156"/>
        <item x="173"/>
        <item x="171"/>
        <item x="298"/>
        <item x="12"/>
        <item x="348"/>
        <item x="321"/>
        <item x="93"/>
        <item x="340"/>
        <item x="291"/>
        <item x="187"/>
        <item x="19"/>
        <item x="263"/>
        <item x="119"/>
        <item x="101"/>
        <item x="273"/>
        <item x="253"/>
        <item x="42"/>
        <item x="275"/>
        <item x="272"/>
        <item x="265"/>
        <item x="232"/>
        <item x="23"/>
        <item x="129"/>
        <item x="22"/>
        <item x="259"/>
        <item x="168"/>
        <item x="59"/>
        <item x="142"/>
        <item x="377"/>
        <item x="210"/>
        <item x="367"/>
        <item x="217"/>
        <item x="222"/>
        <item x="375"/>
        <item x="202"/>
        <item x="64"/>
        <item x="109"/>
        <item x="120"/>
        <item x="115"/>
        <item x="102"/>
        <item x="18"/>
        <item x="50"/>
        <item x="328"/>
        <item x="211"/>
        <item x="266"/>
        <item x="200"/>
        <item x="286"/>
        <item x="52"/>
        <item x="30"/>
        <item x="301"/>
        <item x="292"/>
        <item x="262"/>
        <item x="2"/>
        <item x="231"/>
        <item x="88"/>
        <item x="323"/>
        <item x="150"/>
        <item x="161"/>
        <item x="277"/>
        <item x="194"/>
        <item x="39"/>
        <item x="264"/>
        <item x="330"/>
        <item x="158"/>
        <item x="152"/>
        <item x="243"/>
        <item x="110"/>
        <item x="94"/>
        <item x="362"/>
        <item x="145"/>
        <item x="124"/>
        <item x="182"/>
        <item x="116"/>
        <item x="305"/>
        <item x="325"/>
        <item x="65"/>
        <item x="206"/>
        <item x="364"/>
        <item x="162"/>
        <item x="246"/>
        <item x="316"/>
        <item x="215"/>
        <item x="318"/>
        <item x="140"/>
        <item x="75"/>
        <item x="357"/>
        <item x="98"/>
        <item x="47"/>
        <item x="326"/>
        <item x="230"/>
        <item x="283"/>
        <item x="11"/>
        <item x="226"/>
        <item x="196"/>
        <item x="9"/>
        <item x="293"/>
        <item x="36"/>
        <item x="344"/>
        <item x="339"/>
        <item x="280"/>
        <item x="276"/>
        <item x="248"/>
        <item x="43"/>
        <item x="190"/>
        <item x="274"/>
        <item t="default"/>
      </items>
      <autoSortScope>
        <pivotArea dataOnly="0" outline="0" fieldPosition="0">
          <references count="1">
            <reference field="4294967294" count="1" selected="0">
              <x v="0"/>
            </reference>
          </references>
        </pivotArea>
      </autoSortScope>
    </pivotField>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showAll="0"/>
    <pivotField showAll="0"/>
    <pivotField showAll="0"/>
    <pivotField dataField="1" showAll="0"/>
    <pivotField showAll="0">
      <items count="7">
        <item x="1"/>
        <item x="2"/>
        <item x="4"/>
        <item x="3"/>
        <item x="0"/>
        <item x="5"/>
        <item t="default"/>
      </items>
    </pivotField>
    <pivotField showAll="0">
      <items count="7">
        <item x="3"/>
        <item x="1"/>
        <item x="2"/>
        <item x="4"/>
        <item x="0"/>
        <item h="1" x="5"/>
        <item t="default"/>
      </items>
    </pivotField>
  </pivotFields>
  <rowFields count="1">
    <field x="1"/>
  </rowFields>
  <rowItems count="6">
    <i>
      <x v="207"/>
    </i>
    <i>
      <x v="154"/>
    </i>
    <i>
      <x v="197"/>
    </i>
    <i>
      <x v="142"/>
    </i>
    <i>
      <x v="345"/>
    </i>
    <i t="grand">
      <x/>
    </i>
  </rowItems>
  <colItems count="1">
    <i/>
  </colItems>
  <dataFields count="1">
    <dataField name="Sum of Performance Score" fld="11" baseField="0" baseItem="0"/>
  </dataFields>
  <formats count="2">
    <format dxfId="8">
      <pivotArea grandRow="1" outline="0" collapsedLevelsAreSubtotals="1" fieldPosition="0"/>
    </format>
    <format dxfId="7">
      <pivotArea outline="0" collapsedLevelsAreSubtotals="1" fieldPosition="0"/>
    </format>
  </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2B293D-19D6-4757-8C93-3A870B8534DC}"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3:B45" firstHeaderRow="1" firstDataRow="1" firstDataCol="1"/>
  <pivotFields count="14">
    <pivotField showAll="0"/>
    <pivotField showAll="0"/>
    <pivotField axis="axisRow" showAll="0" sortType="descending">
      <items count="15">
        <item m="1" x="12"/>
        <item x="1"/>
        <item m="1" x="13"/>
        <item x="5"/>
        <item x="9"/>
        <item x="4"/>
        <item x="3"/>
        <item x="10"/>
        <item x="2"/>
        <item x="0"/>
        <item x="7"/>
        <item x="1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Fields count="1">
    <field x="2"/>
  </rowFields>
  <rowItems count="12">
    <i>
      <x v="3"/>
    </i>
    <i>
      <x v="8"/>
    </i>
    <i>
      <x v="1"/>
    </i>
    <i>
      <x v="6"/>
    </i>
    <i>
      <x v="9"/>
    </i>
    <i>
      <x v="12"/>
    </i>
    <i>
      <x v="10"/>
    </i>
    <i>
      <x v="5"/>
    </i>
    <i>
      <x v="4"/>
    </i>
    <i>
      <x v="13"/>
    </i>
    <i>
      <x v="7"/>
    </i>
    <i t="grand">
      <x/>
    </i>
  </rowItems>
  <colItems count="1">
    <i/>
  </colItems>
  <dataFields count="1">
    <dataField name="Sum of Total Leave Days" fld="9" baseField="0" baseItem="0"/>
  </dataFields>
  <formats count="3">
    <format dxfId="11">
      <pivotArea grandRow="1" outline="0" collapsedLevelsAreSubtotals="1" fieldPosition="0"/>
    </format>
    <format dxfId="10">
      <pivotArea collapsedLevelsAreSubtotals="1" fieldPosition="0">
        <references count="1">
          <reference field="2" count="0"/>
        </references>
      </pivotArea>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815464-9E8C-45C1-A3AA-27B2E3DD89C7}" name="Total Employe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4">
    <pivotField dataField="1" showAll="0"/>
    <pivotField showAll="0"/>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Total Employee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E2CF23-4BBB-4BF2-90B6-23393EE7BE07}" name="Average of Performance Sc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6:E7" firstHeaderRow="1" firstDataRow="1" firstDataCol="0"/>
  <pivotFields count="14">
    <pivotField showAll="0"/>
    <pivotField showAll="0"/>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showAll="0"/>
    <pivotField showAll="0"/>
    <pivotField showAll="0"/>
    <pivotField dataField="1"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Average of Performance Score" fld="11" subtotal="average" baseField="0" baseItem="0" numFmtId="1"/>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6C67C-4150-4C01-AE98-AD71301FAC8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19:E31" firstHeaderRow="1" firstDataRow="1" firstDataCol="1"/>
  <pivotFields count="14">
    <pivotField showAll="0"/>
    <pivotField showAll="0"/>
    <pivotField axis="axisRow" showAll="0" sortType="descending">
      <items count="15">
        <item m="1" x="12"/>
        <item x="1"/>
        <item m="1" x="13"/>
        <item x="5"/>
        <item x="9"/>
        <item x="4"/>
        <item x="3"/>
        <item x="10"/>
        <item x="2"/>
        <item x="0"/>
        <item x="7"/>
        <item x="1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Fields count="1">
    <field x="2"/>
  </rowFields>
  <rowItems count="12">
    <i>
      <x v="4"/>
    </i>
    <i>
      <x v="12"/>
    </i>
    <i>
      <x v="6"/>
    </i>
    <i>
      <x v="9"/>
    </i>
    <i>
      <x v="7"/>
    </i>
    <i>
      <x v="8"/>
    </i>
    <i>
      <x v="3"/>
    </i>
    <i>
      <x v="5"/>
    </i>
    <i>
      <x v="1"/>
    </i>
    <i>
      <x v="10"/>
    </i>
    <i>
      <x v="13"/>
    </i>
    <i t="grand">
      <x/>
    </i>
  </rowItems>
  <colItems count="1">
    <i/>
  </colItems>
  <dataFields count="1">
    <dataField name="Average of Attendance Rate" fld="8" subtotal="average" baseField="0" baseItem="0"/>
  </dataFields>
  <formats count="3">
    <format dxfId="17">
      <pivotArea grandRow="1" outline="0" collapsedLevelsAreSubtotals="1" fieldPosition="0"/>
    </format>
    <format dxfId="16">
      <pivotArea outline="0" collapsedLevelsAreSubtotals="1" fieldPosition="0"/>
    </format>
    <format dxfId="15">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D85E8C-9113-438F-8E6E-E9A8A1A1306A}" name="Total Leave Days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C7" firstHeaderRow="1" firstDataRow="1" firstDataCol="0"/>
  <pivotFields count="14">
    <pivotField showAll="0"/>
    <pivotField showAll="0"/>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showAll="0"/>
    <pivotField dataField="1"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Total Leave Days" fld="9"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D13766-B5E0-4E96-BD71-9683DE43FED3}" name="Attendance Rat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4">
    <pivotField showAll="0"/>
    <pivotField showAll="0"/>
    <pivotField showAll="0">
      <items count="15">
        <item x="8"/>
        <item m="1" x="12"/>
        <item x="1"/>
        <item x="6"/>
        <item m="1" x="13"/>
        <item x="5"/>
        <item x="9"/>
        <item x="4"/>
        <item x="3"/>
        <item x="10"/>
        <item x="2"/>
        <item x="0"/>
        <item x="7"/>
        <item x="11"/>
        <item t="default"/>
      </items>
    </pivotField>
    <pivotField showAll="0"/>
    <pivotField showAll="0"/>
    <pivotField showAll="0"/>
    <pivotField showAll="0"/>
    <pivotField showAll="0"/>
    <pivotField dataField="1"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Attendance Rates" fld="8" subtotal="average" baseField="0" baseItem="0" numFmtId="9"/>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7EC58B-F205-4231-BA59-8A413B8C152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10:H22" firstHeaderRow="1" firstDataRow="1" firstDataCol="1"/>
  <pivotFields count="14">
    <pivotField showAll="0"/>
    <pivotField showAll="0"/>
    <pivotField axis="axisRow" showAll="0" sortType="descending">
      <items count="15">
        <item m="1" x="12"/>
        <item x="1"/>
        <item m="1" x="13"/>
        <item x="5"/>
        <item x="9"/>
        <item x="4"/>
        <item x="3"/>
        <item x="10"/>
        <item x="2"/>
        <item x="0"/>
        <item x="7"/>
        <item x="11"/>
        <item x="6"/>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Fields count="1">
    <field x="2"/>
  </rowFields>
  <rowItems count="12">
    <i>
      <x v="3"/>
    </i>
    <i>
      <x v="12"/>
    </i>
    <i>
      <x v="4"/>
    </i>
    <i>
      <x v="6"/>
    </i>
    <i>
      <x v="9"/>
    </i>
    <i>
      <x v="8"/>
    </i>
    <i>
      <x v="13"/>
    </i>
    <i>
      <x v="1"/>
    </i>
    <i>
      <x v="7"/>
    </i>
    <i>
      <x v="10"/>
    </i>
    <i>
      <x v="5"/>
    </i>
    <i t="grand">
      <x/>
    </i>
  </rowItems>
  <colItems count="1">
    <i/>
  </colItems>
  <dataFields count="1">
    <dataField name="Average of Salary (NGN)" fld="3" subtotal="average" baseField="0" baseItem="0" numFmtId="165"/>
  </dataFields>
  <formats count="2">
    <format dxfId="23">
      <pivotArea grandRow="1"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655527-038D-4796-8A33-F7F443EE86B6}" name="Average of Salary (NG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4">
    <pivotField showAll="0"/>
    <pivotField showAll="0"/>
    <pivotField showAll="0">
      <items count="15">
        <item x="8"/>
        <item m="1" x="12"/>
        <item x="1"/>
        <item x="6"/>
        <item m="1" x="13"/>
        <item x="5"/>
        <item x="9"/>
        <item x="4"/>
        <item x="3"/>
        <item x="10"/>
        <item x="2"/>
        <item x="0"/>
        <item x="7"/>
        <item x="11"/>
        <item t="default"/>
      </items>
    </pivotField>
    <pivotField dataField="1" showAll="0"/>
    <pivotField showAll="0"/>
    <pivotField showAll="0"/>
    <pivotField showAll="0"/>
    <pivotField showAll="0"/>
    <pivotField showAll="0"/>
    <pivotField showAll="0"/>
    <pivotField showAll="0"/>
    <pivotField showAll="0"/>
    <pivotField showAll="0">
      <items count="7">
        <item x="1"/>
        <item x="2"/>
        <item x="4"/>
        <item x="3"/>
        <item x="0"/>
        <item x="5"/>
        <item t="default"/>
      </items>
    </pivotField>
    <pivotField showAll="0">
      <items count="7">
        <item x="3"/>
        <item x="1"/>
        <item x="2"/>
        <item x="4"/>
        <item x="0"/>
        <item h="1" x="5"/>
        <item t="default"/>
      </items>
    </pivotField>
  </pivotFields>
  <rowItems count="1">
    <i/>
  </rowItems>
  <colItems count="1">
    <i/>
  </colItems>
  <dataFields count="1">
    <dataField name="Average of Salary (NGN)" fld="3" subtotal="average"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refreshOnLoad="1" connectionId="5" xr16:uid="{CF9746B0-18E1-437D-AE24-639349F3DE28}" autoFormatId="16" applyNumberFormats="0" applyBorderFormats="0" applyFontFormats="0" applyPatternFormats="0" applyAlignmentFormats="0" applyWidthHeightFormats="0">
  <queryTableRefresh nextId="15">
    <queryTableFields count="14">
      <queryTableField id="1" name="EmployeeID" tableColumnId="1"/>
      <queryTableField id="2" name="Employee Name" tableColumnId="2"/>
      <queryTableField id="3" name="Department" tableColumnId="3"/>
      <queryTableField id="4" name="Salary (NGN)" tableColumnId="4"/>
      <queryTableField id="5" name="Bonus (NGN)" tableColumnId="5"/>
      <queryTableField id="6" name="PAYE Tax (NGN)" tableColumnId="6"/>
      <queryTableField id="7" name="Total Attendance Records" tableColumnId="7"/>
      <queryTableField id="8" name="Total Hours Worked" tableColumnId="8"/>
      <queryTableField id="9" name="Attendance Rate" tableColumnId="9"/>
      <queryTableField id="10" name="Total Leave Days" tableColumnId="10"/>
      <queryTableField id="11" name="Number of Leave Request" tableColumnId="11"/>
      <queryTableField id="12" name="Performance Score" tableColumnId="12"/>
      <queryTableField id="13" name="Manager" tableColumnId="13"/>
      <queryTableField id="14" name="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9D4D9A-F94E-4081-B70A-66983CDFDB6B}" sourceName="Department">
  <pivotTables>
    <pivotTable tabId="13" name="PivotTable11"/>
    <pivotTable tabId="13" name="Attendance Rates"/>
    <pivotTable tabId="13" name="Average of Performance Score"/>
    <pivotTable tabId="13" name="Average of Salary (NGN)"/>
    <pivotTable tabId="13" name="PivotTable10"/>
    <pivotTable tabId="13" name="PivotTable12"/>
    <pivotTable tabId="13" name="PivotTable13"/>
    <pivotTable tabId="13" name="PivotTable8"/>
    <pivotTable tabId="13" name="PivotTable9"/>
    <pivotTable tabId="13" name="Total Employees"/>
    <pivotTable tabId="13" name="Total Leave Dayss"/>
    <pivotTable tabId="13" name="Total Payroll"/>
  </pivotTables>
  <data>
    <tabular pivotCacheId="1413676311">
      <items count="14">
        <i x="8" s="1"/>
        <i x="1" s="1"/>
        <i x="6" s="1"/>
        <i x="5" s="1"/>
        <i x="9" s="1"/>
        <i x="4" s="1"/>
        <i x="3" s="1"/>
        <i x="10" s="1"/>
        <i x="2" s="1"/>
        <i x="0" s="1"/>
        <i x="7" s="1"/>
        <i x="12" s="1" nd="1"/>
        <i x="13"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ACF03FA9-E32C-4AB5-A2A2-6320BA82DEAC}" sourceName="Manager">
  <pivotTables>
    <pivotTable tabId="13" name="PivotTable11"/>
    <pivotTable tabId="13" name="Attendance Rates"/>
    <pivotTable tabId="13" name="Average of Performance Score"/>
    <pivotTable tabId="13" name="Average of Salary (NGN)"/>
    <pivotTable tabId="13" name="PivotTable10"/>
    <pivotTable tabId="13" name="PivotTable12"/>
    <pivotTable tabId="13" name="PivotTable13"/>
    <pivotTable tabId="13" name="PivotTable8"/>
    <pivotTable tabId="13" name="PivotTable9"/>
    <pivotTable tabId="13" name="Total Employees"/>
    <pivotTable tabId="13" name="Total Leave Dayss"/>
    <pivotTable tabId="13" name="Total Payroll"/>
  </pivotTables>
  <data>
    <tabular pivotCacheId="1413676311">
      <items count="6">
        <i x="1" s="1"/>
        <i x="2" s="1"/>
        <i x="4" s="1"/>
        <i x="3"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F4EDBCEA-6E3F-4719-B4B2-72C571E4B1DD}" sourceName="Rating">
  <pivotTables>
    <pivotTable tabId="13" name="PivotTable11"/>
    <pivotTable tabId="13" name="Attendance Rates"/>
    <pivotTable tabId="13" name="Average of Performance Score"/>
    <pivotTable tabId="13" name="Average of Salary (NGN)"/>
    <pivotTable tabId="13" name="PivotTable10"/>
    <pivotTable tabId="13" name="PivotTable12"/>
    <pivotTable tabId="13" name="PivotTable13"/>
    <pivotTable tabId="13" name="PivotTable8"/>
    <pivotTable tabId="13" name="PivotTable9"/>
    <pivotTable tabId="13" name="Total Employees"/>
    <pivotTable tabId="13" name="Total Leave Dayss"/>
    <pivotTable tabId="13" name="Total Payroll"/>
  </pivotTables>
  <data>
    <tabular pivotCacheId="1413676311">
      <items count="6">
        <i x="3" s="1"/>
        <i x="1" s="1"/>
        <i x="2" s="1"/>
        <i x="4" s="1"/>
        <i x="0"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98AEA46-7A61-4D7D-A16C-9492EA815C63}" cache="Slicer_Department" caption="Department" style="SlicerStyleLight6" rowHeight="241300"/>
  <slicer name="Manager" xr10:uid="{672DB4AD-2855-4AC8-ABCC-6DEA77EF0F02}" cache="Slicer_Manager" caption="Manager" style="SlicerStyleLight6" rowHeight="241300"/>
  <slicer name="Rating" xr10:uid="{BFF6EFAC-3F27-42A2-9FB9-A37D54E399CF}" cache="Slicer_Rating" caption="Rating"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DA8FBC-EADC-4013-9897-ED294DBCB8E5}" name="Employee_Master" displayName="Employee_Master" ref="A1:N1002" tableType="queryTable" totalsRowShown="0">
  <autoFilter ref="A1:N1002" xr:uid="{45DA8FBC-EADC-4013-9897-ED294DBCB8E5}"/>
  <tableColumns count="14">
    <tableColumn id="1" xr3:uid="{A727D6DD-9C6B-4BC1-B3CB-DBD3FA7CF83A}" uniqueName="1" name="EmployeeID" queryTableFieldId="1" dataDxfId="31"/>
    <tableColumn id="2" xr3:uid="{7EEE4343-7F17-447A-A392-2803F9154557}" uniqueName="2" name="Employee Name" queryTableFieldId="2" dataDxfId="30"/>
    <tableColumn id="3" xr3:uid="{7EBE90E3-25E3-4E93-B20E-C32D2BA4FB15}" uniqueName="3" name="Department" queryTableFieldId="3" dataDxfId="29"/>
    <tableColumn id="4" xr3:uid="{91AB49DC-5C8F-4CAA-8B0E-413AA405A64A}" uniqueName="4" name="Salary (NGN)" queryTableFieldId="4"/>
    <tableColumn id="5" xr3:uid="{1DE4B0E8-C50F-45C1-B155-DC8D21AA497E}" uniqueName="5" name="Bonus (NGN)" queryTableFieldId="5"/>
    <tableColumn id="6" xr3:uid="{D8A9C2EB-B76E-460A-BE0C-789B1FA8C996}" uniqueName="6" name="PAYE Tax (NGN)" queryTableFieldId="6"/>
    <tableColumn id="7" xr3:uid="{0BE34083-BC98-496C-89FB-A655CE0E5474}" uniqueName="7" name="Total Attendance Records" queryTableFieldId="7"/>
    <tableColumn id="8" xr3:uid="{F39A7B84-EFBC-4E11-8E99-B10120DEAE58}" uniqueName="8" name="Total Hours Worked" queryTableFieldId="8" dataDxfId="28"/>
    <tableColumn id="9" xr3:uid="{4D0AC400-11F5-404D-AEC7-6811F51E3AC8}" uniqueName="9" name="Attendance Rate" queryTableFieldId="9" dataDxfId="27" dataCellStyle="Percent"/>
    <tableColumn id="10" xr3:uid="{41303F53-4E74-4653-A8F8-FDA1CE43D640}" uniqueName="10" name="Total Leave Days" queryTableFieldId="10"/>
    <tableColumn id="11" xr3:uid="{7A932F4D-7626-489F-B8E8-946B0926CE09}" uniqueName="11" name="Number of Leave Request" queryTableFieldId="11"/>
    <tableColumn id="12" xr3:uid="{013F1DBE-C9DA-4C04-AC37-E8EB88496AA6}" uniqueName="12" name="Performance Score" queryTableFieldId="12"/>
    <tableColumn id="13" xr3:uid="{DAE76DBB-C285-40DE-B982-A317471EA7A9}" uniqueName="13" name="Manager" queryTableFieldId="13" dataDxfId="26"/>
    <tableColumn id="14" xr3:uid="{66853C41-94BD-4C0A-9737-E0E392FDE743}" uniqueName="14" name="Rating" queryTableFieldId="14" dataDxf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3B41F4-4C02-4E84-B9CB-60955ACD3524}">
  <we:reference id="wa200009404" version="1.0.0.8" store="en-US" storeType="OMEX"/>
  <we:alternateReferences>
    <we:reference id="WA200009404" version="1.0.0.8" store="" storeType="OMEX"/>
  </we:alternateReferences>
  <we:properties>
    <we:property name="claude.fileId" value="&quot;66b4a4b1-9e9f-477c-8f5a-b93a819eae5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EE668-CF52-491C-B3B0-8ABEC23D753F}">
  <dimension ref="A1:N1002"/>
  <sheetViews>
    <sheetView workbookViewId="0">
      <selection activeCell="C32" sqref="C32:C1002"/>
    </sheetView>
  </sheetViews>
  <sheetFormatPr defaultRowHeight="15" x14ac:dyDescent="0.25"/>
  <cols>
    <col min="1" max="1" width="14" bestFit="1" customWidth="1"/>
    <col min="2" max="2" width="22.5703125" bestFit="1" customWidth="1"/>
    <col min="3" max="3" width="16.85546875" bestFit="1" customWidth="1"/>
    <col min="4" max="4" width="14.7109375" bestFit="1" customWidth="1"/>
    <col min="5" max="5" width="14.85546875" bestFit="1" customWidth="1"/>
    <col min="6" max="6" width="17.5703125" bestFit="1" customWidth="1"/>
    <col min="7" max="7" width="26.28515625" bestFit="1" customWidth="1"/>
    <col min="8" max="8" width="21.140625" bestFit="1" customWidth="1"/>
    <col min="9" max="9" width="18.140625" bestFit="1" customWidth="1"/>
    <col min="10" max="10" width="18" bestFit="1" customWidth="1"/>
    <col min="11" max="11" width="26.5703125" bestFit="1" customWidth="1"/>
    <col min="12" max="12" width="20.28515625" bestFit="1" customWidth="1"/>
    <col min="13" max="13" width="14.28515625" bestFit="1" customWidth="1"/>
    <col min="14" max="14" width="20.140625" bestFit="1" customWidth="1"/>
  </cols>
  <sheetData>
    <row r="1" spans="1:14" x14ac:dyDescent="0.25">
      <c r="A1" t="s">
        <v>0</v>
      </c>
      <c r="B1" t="s">
        <v>1022</v>
      </c>
      <c r="C1" t="s">
        <v>1</v>
      </c>
      <c r="D1" t="s">
        <v>1023</v>
      </c>
      <c r="E1" t="s">
        <v>1024</v>
      </c>
      <c r="F1" t="s">
        <v>1025</v>
      </c>
      <c r="G1" t="s">
        <v>1410</v>
      </c>
      <c r="H1" t="s">
        <v>1411</v>
      </c>
      <c r="I1" t="s">
        <v>1412</v>
      </c>
      <c r="J1" t="s">
        <v>1408</v>
      </c>
      <c r="K1" t="s">
        <v>1409</v>
      </c>
      <c r="L1" t="s">
        <v>1011</v>
      </c>
      <c r="M1" t="s">
        <v>1012</v>
      </c>
      <c r="N1" t="s">
        <v>1013</v>
      </c>
    </row>
    <row r="2" spans="1:14" x14ac:dyDescent="0.25">
      <c r="A2" s="1" t="s">
        <v>2</v>
      </c>
      <c r="B2" s="1" t="s">
        <v>1026</v>
      </c>
      <c r="C2" s="1" t="s">
        <v>3</v>
      </c>
      <c r="D2">
        <v>315940</v>
      </c>
      <c r="E2">
        <v>74823</v>
      </c>
      <c r="F2">
        <v>34753</v>
      </c>
      <c r="G2">
        <v>14</v>
      </c>
      <c r="H2" s="4">
        <v>77.8</v>
      </c>
      <c r="I2" s="2">
        <v>0.64285714285714302</v>
      </c>
      <c r="J2">
        <v>0</v>
      </c>
      <c r="K2">
        <v>0</v>
      </c>
      <c r="L2">
        <v>93</v>
      </c>
      <c r="M2" s="1" t="s">
        <v>1014</v>
      </c>
      <c r="N2" s="1" t="s">
        <v>1015</v>
      </c>
    </row>
    <row r="3" spans="1:14" x14ac:dyDescent="0.25">
      <c r="A3" s="1" t="s">
        <v>4</v>
      </c>
      <c r="B3" s="1" t="s">
        <v>1027</v>
      </c>
      <c r="C3" s="1" t="s">
        <v>5</v>
      </c>
      <c r="D3">
        <v>370992</v>
      </c>
      <c r="E3">
        <v>45527</v>
      </c>
      <c r="F3">
        <v>40809</v>
      </c>
      <c r="G3">
        <v>15</v>
      </c>
      <c r="H3" s="4">
        <v>105.7</v>
      </c>
      <c r="I3" s="2">
        <v>0.8</v>
      </c>
      <c r="J3">
        <v>14</v>
      </c>
      <c r="K3">
        <v>1</v>
      </c>
      <c r="L3">
        <v>72</v>
      </c>
      <c r="M3" s="1" t="s">
        <v>1016</v>
      </c>
      <c r="N3" s="1" t="s">
        <v>1017</v>
      </c>
    </row>
    <row r="4" spans="1:14" x14ac:dyDescent="0.25">
      <c r="A4" s="1" t="s">
        <v>6</v>
      </c>
      <c r="B4" s="1" t="s">
        <v>1028</v>
      </c>
      <c r="C4" s="1" t="s">
        <v>7</v>
      </c>
      <c r="D4">
        <v>437815</v>
      </c>
      <c r="E4">
        <v>4660</v>
      </c>
      <c r="F4">
        <v>48160</v>
      </c>
      <c r="G4">
        <v>14</v>
      </c>
      <c r="H4" s="4">
        <v>94.9</v>
      </c>
      <c r="I4" s="2">
        <v>0.78571428571428603</v>
      </c>
      <c r="J4">
        <v>17</v>
      </c>
      <c r="K4">
        <v>2</v>
      </c>
      <c r="L4">
        <v>98</v>
      </c>
      <c r="M4" s="1" t="s">
        <v>1018</v>
      </c>
      <c r="N4" s="1" t="s">
        <v>1015</v>
      </c>
    </row>
    <row r="5" spans="1:14" x14ac:dyDescent="0.25">
      <c r="A5" s="1" t="s">
        <v>8</v>
      </c>
      <c r="B5" s="1" t="s">
        <v>1029</v>
      </c>
      <c r="C5" s="1" t="s">
        <v>9</v>
      </c>
      <c r="D5">
        <v>577920</v>
      </c>
      <c r="E5">
        <v>31524</v>
      </c>
      <c r="F5">
        <v>63571</v>
      </c>
      <c r="G5">
        <v>15</v>
      </c>
      <c r="H5" s="4">
        <v>89.6</v>
      </c>
      <c r="I5" s="2">
        <v>0.46666666666666701</v>
      </c>
      <c r="J5">
        <v>0</v>
      </c>
      <c r="K5">
        <v>0</v>
      </c>
      <c r="L5">
        <v>61</v>
      </c>
      <c r="M5" s="1" t="s">
        <v>1018</v>
      </c>
      <c r="N5" s="1" t="s">
        <v>1019</v>
      </c>
    </row>
    <row r="6" spans="1:14" x14ac:dyDescent="0.25">
      <c r="A6" s="1" t="s">
        <v>228</v>
      </c>
      <c r="B6" s="1" t="s">
        <v>1196</v>
      </c>
      <c r="C6" s="1" t="s">
        <v>5</v>
      </c>
      <c r="D6">
        <v>562062</v>
      </c>
      <c r="E6">
        <v>36900</v>
      </c>
      <c r="F6">
        <v>61827</v>
      </c>
      <c r="G6">
        <v>15</v>
      </c>
      <c r="H6" s="4">
        <v>84.699999999999989</v>
      </c>
      <c r="I6" s="2">
        <v>0.53333333333333299</v>
      </c>
      <c r="J6">
        <v>7</v>
      </c>
      <c r="K6">
        <v>2</v>
      </c>
      <c r="L6">
        <v>76</v>
      </c>
      <c r="M6" s="1" t="s">
        <v>1413</v>
      </c>
      <c r="N6" s="1" t="s">
        <v>1017</v>
      </c>
    </row>
    <row r="7" spans="1:14" x14ac:dyDescent="0.25">
      <c r="A7" s="1" t="s">
        <v>10</v>
      </c>
      <c r="B7" s="1" t="s">
        <v>1030</v>
      </c>
      <c r="C7" s="1" t="s">
        <v>7</v>
      </c>
      <c r="D7">
        <v>309962</v>
      </c>
      <c r="E7">
        <v>60189</v>
      </c>
      <c r="F7">
        <v>34096</v>
      </c>
      <c r="G7">
        <v>15</v>
      </c>
      <c r="H7" s="4">
        <v>103.9</v>
      </c>
      <c r="I7" s="2">
        <v>0.66666666666666696</v>
      </c>
      <c r="J7">
        <v>0</v>
      </c>
      <c r="K7">
        <v>0</v>
      </c>
      <c r="L7">
        <v>66</v>
      </c>
      <c r="M7" s="1" t="s">
        <v>1016</v>
      </c>
      <c r="N7" s="1" t="s">
        <v>1019</v>
      </c>
    </row>
    <row r="8" spans="1:14" x14ac:dyDescent="0.25">
      <c r="A8" s="1" t="s">
        <v>11</v>
      </c>
      <c r="B8" s="1" t="s">
        <v>1031</v>
      </c>
      <c r="C8" s="1" t="s">
        <v>12</v>
      </c>
      <c r="D8">
        <v>615040</v>
      </c>
      <c r="E8">
        <v>28333</v>
      </c>
      <c r="F8">
        <v>67654</v>
      </c>
      <c r="G8">
        <v>15</v>
      </c>
      <c r="H8" s="4">
        <v>119.9</v>
      </c>
      <c r="I8" s="2">
        <v>1</v>
      </c>
      <c r="J8">
        <v>0</v>
      </c>
      <c r="K8">
        <v>0</v>
      </c>
      <c r="L8">
        <v>69</v>
      </c>
      <c r="M8" s="1" t="s">
        <v>1014</v>
      </c>
      <c r="N8" s="1" t="s">
        <v>1019</v>
      </c>
    </row>
    <row r="9" spans="1:14" x14ac:dyDescent="0.25">
      <c r="A9" s="1" t="s">
        <v>13</v>
      </c>
      <c r="B9" s="1" t="s">
        <v>1032</v>
      </c>
      <c r="C9" s="1" t="s">
        <v>3</v>
      </c>
      <c r="D9">
        <v>423662</v>
      </c>
      <c r="E9">
        <v>25279</v>
      </c>
      <c r="F9">
        <v>46603</v>
      </c>
      <c r="G9">
        <v>15</v>
      </c>
      <c r="H9" s="4">
        <v>119.1</v>
      </c>
      <c r="I9" s="2">
        <v>0.86666666666666703</v>
      </c>
      <c r="J9">
        <v>0</v>
      </c>
      <c r="K9">
        <v>0</v>
      </c>
      <c r="L9">
        <v>56</v>
      </c>
      <c r="M9" s="1" t="s">
        <v>1018</v>
      </c>
      <c r="N9" s="1" t="s">
        <v>1019</v>
      </c>
    </row>
    <row r="10" spans="1:14" x14ac:dyDescent="0.25">
      <c r="A10" s="1" t="s">
        <v>121</v>
      </c>
      <c r="B10" s="1" t="s">
        <v>1127</v>
      </c>
      <c r="C10" s="1" t="s">
        <v>12</v>
      </c>
      <c r="D10">
        <v>246316</v>
      </c>
      <c r="E10">
        <v>47204</v>
      </c>
      <c r="F10">
        <v>27095</v>
      </c>
      <c r="G10">
        <v>15</v>
      </c>
      <c r="H10" s="4">
        <v>102.6</v>
      </c>
      <c r="I10" s="2">
        <v>0.73333333333333295</v>
      </c>
      <c r="J10">
        <v>13</v>
      </c>
      <c r="K10">
        <v>1</v>
      </c>
      <c r="L10">
        <v>99</v>
      </c>
      <c r="M10" s="1" t="s">
        <v>1014</v>
      </c>
      <c r="N10" s="1" t="s">
        <v>1015</v>
      </c>
    </row>
    <row r="11" spans="1:14" x14ac:dyDescent="0.25">
      <c r="A11" s="1" t="s">
        <v>14</v>
      </c>
      <c r="B11" s="1" t="s">
        <v>1033</v>
      </c>
      <c r="C11" s="1" t="s">
        <v>5</v>
      </c>
      <c r="D11">
        <v>384575</v>
      </c>
      <c r="E11">
        <v>72061</v>
      </c>
      <c r="F11">
        <v>42303</v>
      </c>
      <c r="G11">
        <v>15</v>
      </c>
      <c r="H11" s="4">
        <v>113.89999999999999</v>
      </c>
      <c r="I11" s="2">
        <v>0.8</v>
      </c>
      <c r="J11">
        <v>0</v>
      </c>
      <c r="K11">
        <v>0</v>
      </c>
      <c r="L11">
        <v>82</v>
      </c>
      <c r="M11" s="1" t="s">
        <v>1018</v>
      </c>
      <c r="N11" s="1" t="s">
        <v>1020</v>
      </c>
    </row>
    <row r="12" spans="1:14" x14ac:dyDescent="0.25">
      <c r="A12" s="1" t="s">
        <v>15</v>
      </c>
      <c r="B12" s="1" t="s">
        <v>1034</v>
      </c>
      <c r="C12" s="1" t="s">
        <v>3</v>
      </c>
      <c r="D12">
        <v>695367</v>
      </c>
      <c r="E12">
        <v>38954</v>
      </c>
      <c r="F12">
        <v>76490</v>
      </c>
      <c r="G12">
        <v>15</v>
      </c>
      <c r="H12" s="4">
        <v>112.20000000000002</v>
      </c>
      <c r="I12" s="2">
        <v>0.93333333333333302</v>
      </c>
      <c r="J12">
        <v>0</v>
      </c>
      <c r="K12">
        <v>0</v>
      </c>
      <c r="L12">
        <v>96</v>
      </c>
      <c r="M12" s="1" t="s">
        <v>1016</v>
      </c>
      <c r="N12" s="1" t="s">
        <v>1015</v>
      </c>
    </row>
    <row r="13" spans="1:14" x14ac:dyDescent="0.25">
      <c r="A13" s="1" t="s">
        <v>16</v>
      </c>
      <c r="B13" s="1" t="s">
        <v>1035</v>
      </c>
      <c r="C13" s="1" t="s">
        <v>3</v>
      </c>
      <c r="D13">
        <v>375205</v>
      </c>
      <c r="E13">
        <v>32680</v>
      </c>
      <c r="G13">
        <v>15</v>
      </c>
      <c r="H13" s="4">
        <v>102.79999999999998</v>
      </c>
      <c r="I13" s="2">
        <v>0.86666666666666703</v>
      </c>
      <c r="J13">
        <v>0</v>
      </c>
      <c r="K13">
        <v>0</v>
      </c>
      <c r="L13">
        <v>63</v>
      </c>
      <c r="M13" s="1" t="s">
        <v>1413</v>
      </c>
      <c r="N13" s="1" t="s">
        <v>1019</v>
      </c>
    </row>
    <row r="14" spans="1:14" x14ac:dyDescent="0.25">
      <c r="A14" s="1" t="s">
        <v>17</v>
      </c>
      <c r="B14" s="1" t="s">
        <v>1036</v>
      </c>
      <c r="C14" s="1" t="s">
        <v>1037</v>
      </c>
      <c r="D14">
        <v>599882</v>
      </c>
      <c r="E14">
        <v>64192</v>
      </c>
      <c r="F14">
        <v>65987</v>
      </c>
      <c r="G14">
        <v>15</v>
      </c>
      <c r="H14" s="4">
        <v>108.1</v>
      </c>
      <c r="I14" s="2">
        <v>0.86666666666666703</v>
      </c>
      <c r="J14">
        <v>0</v>
      </c>
      <c r="K14">
        <v>0</v>
      </c>
      <c r="L14">
        <v>73</v>
      </c>
      <c r="M14" s="1" t="s">
        <v>1413</v>
      </c>
      <c r="N14" s="1" t="s">
        <v>1017</v>
      </c>
    </row>
    <row r="15" spans="1:14" x14ac:dyDescent="0.25">
      <c r="A15" s="1" t="s">
        <v>158</v>
      </c>
      <c r="B15" s="1" t="s">
        <v>1104</v>
      </c>
      <c r="C15" s="1" t="s">
        <v>5</v>
      </c>
      <c r="D15">
        <v>446625</v>
      </c>
      <c r="E15">
        <v>21283</v>
      </c>
      <c r="G15">
        <v>15</v>
      </c>
      <c r="H15" s="4">
        <v>112</v>
      </c>
      <c r="I15" s="2">
        <v>0.8</v>
      </c>
      <c r="J15">
        <v>8</v>
      </c>
      <c r="K15">
        <v>1</v>
      </c>
      <c r="L15">
        <v>80</v>
      </c>
      <c r="M15" s="1" t="s">
        <v>1021</v>
      </c>
      <c r="N15" s="1" t="s">
        <v>1020</v>
      </c>
    </row>
    <row r="16" spans="1:14" x14ac:dyDescent="0.25">
      <c r="A16" s="1" t="s">
        <v>18</v>
      </c>
      <c r="B16" s="1" t="s">
        <v>1038</v>
      </c>
      <c r="C16" s="1" t="s">
        <v>5</v>
      </c>
      <c r="D16">
        <v>699898</v>
      </c>
      <c r="E16">
        <v>36379</v>
      </c>
      <c r="F16">
        <v>76989</v>
      </c>
      <c r="G16">
        <v>15</v>
      </c>
      <c r="H16" s="4">
        <v>104.89999999999999</v>
      </c>
      <c r="I16" s="2">
        <v>0.73333333333333295</v>
      </c>
      <c r="J16">
        <v>0</v>
      </c>
      <c r="K16">
        <v>0</v>
      </c>
      <c r="L16">
        <v>78</v>
      </c>
      <c r="M16" s="1" t="s">
        <v>1016</v>
      </c>
      <c r="N16" s="1" t="s">
        <v>1017</v>
      </c>
    </row>
    <row r="17" spans="1:14" x14ac:dyDescent="0.25">
      <c r="A17" s="1" t="s">
        <v>19</v>
      </c>
      <c r="B17" s="1" t="s">
        <v>1039</v>
      </c>
      <c r="C17" s="1" t="s">
        <v>5</v>
      </c>
      <c r="D17">
        <v>632081</v>
      </c>
      <c r="E17">
        <v>56747</v>
      </c>
      <c r="F17">
        <v>69529</v>
      </c>
      <c r="G17">
        <v>15</v>
      </c>
      <c r="H17" s="4">
        <v>107.7</v>
      </c>
      <c r="I17" s="2">
        <v>0.73333333333333295</v>
      </c>
      <c r="J17">
        <v>0</v>
      </c>
      <c r="K17">
        <v>0</v>
      </c>
      <c r="L17">
        <v>89</v>
      </c>
      <c r="M17" s="1" t="s">
        <v>1014</v>
      </c>
      <c r="N17" s="1" t="s">
        <v>1020</v>
      </c>
    </row>
    <row r="18" spans="1:14" x14ac:dyDescent="0.25">
      <c r="A18" s="1" t="s">
        <v>20</v>
      </c>
      <c r="B18" s="1" t="s">
        <v>1040</v>
      </c>
      <c r="C18" s="1" t="s">
        <v>9</v>
      </c>
      <c r="D18">
        <v>716947</v>
      </c>
      <c r="E18">
        <v>3988</v>
      </c>
      <c r="F18">
        <v>78864</v>
      </c>
      <c r="G18">
        <v>15</v>
      </c>
      <c r="H18" s="4">
        <v>102.20000000000002</v>
      </c>
      <c r="I18" s="2">
        <v>0.8</v>
      </c>
      <c r="J18">
        <v>0</v>
      </c>
      <c r="K18">
        <v>0</v>
      </c>
      <c r="L18">
        <v>75</v>
      </c>
      <c r="M18" s="1" t="s">
        <v>1014</v>
      </c>
      <c r="N18" s="1" t="s">
        <v>1017</v>
      </c>
    </row>
    <row r="19" spans="1:14" x14ac:dyDescent="0.25">
      <c r="A19" s="1" t="s">
        <v>21</v>
      </c>
      <c r="B19" s="1" t="s">
        <v>1041</v>
      </c>
      <c r="C19" s="1" t="s">
        <v>5</v>
      </c>
      <c r="D19">
        <v>764213</v>
      </c>
      <c r="E19">
        <v>82827</v>
      </c>
      <c r="F19">
        <v>84063</v>
      </c>
      <c r="G19">
        <v>15</v>
      </c>
      <c r="H19" s="4">
        <v>87.199999999999989</v>
      </c>
      <c r="I19" s="2">
        <v>0.66666666666666696</v>
      </c>
      <c r="J19">
        <v>0</v>
      </c>
      <c r="K19">
        <v>0</v>
      </c>
      <c r="L19">
        <v>56</v>
      </c>
      <c r="M19" s="1" t="s">
        <v>1014</v>
      </c>
      <c r="N19" s="1" t="s">
        <v>1019</v>
      </c>
    </row>
    <row r="20" spans="1:14" x14ac:dyDescent="0.25">
      <c r="A20" s="1" t="s">
        <v>22</v>
      </c>
      <c r="B20" s="1" t="s">
        <v>1042</v>
      </c>
      <c r="C20" s="1" t="s">
        <v>23</v>
      </c>
      <c r="D20">
        <v>777470</v>
      </c>
      <c r="E20">
        <v>14779</v>
      </c>
      <c r="F20">
        <v>85522</v>
      </c>
      <c r="G20">
        <v>15</v>
      </c>
      <c r="H20" s="4">
        <v>103.1</v>
      </c>
      <c r="I20" s="2">
        <v>0.86666666666666703</v>
      </c>
      <c r="J20">
        <v>0</v>
      </c>
      <c r="K20">
        <v>0</v>
      </c>
      <c r="L20">
        <v>81</v>
      </c>
      <c r="M20" s="1" t="s">
        <v>1018</v>
      </c>
      <c r="N20" s="1" t="s">
        <v>1020</v>
      </c>
    </row>
    <row r="21" spans="1:14" x14ac:dyDescent="0.25">
      <c r="A21" s="1" t="s">
        <v>24</v>
      </c>
      <c r="B21" s="1" t="s">
        <v>1043</v>
      </c>
      <c r="C21" s="1" t="s">
        <v>1037</v>
      </c>
      <c r="D21">
        <v>541764</v>
      </c>
      <c r="E21">
        <v>48384</v>
      </c>
      <c r="F21">
        <v>59594</v>
      </c>
      <c r="G21">
        <v>15</v>
      </c>
      <c r="H21" s="4">
        <v>88.5</v>
      </c>
      <c r="I21" s="2">
        <v>0.6</v>
      </c>
      <c r="J21">
        <v>0</v>
      </c>
      <c r="K21">
        <v>0</v>
      </c>
      <c r="L21">
        <v>89</v>
      </c>
      <c r="M21" s="1" t="s">
        <v>1413</v>
      </c>
      <c r="N21" s="1" t="s">
        <v>1020</v>
      </c>
    </row>
    <row r="22" spans="1:14" x14ac:dyDescent="0.25">
      <c r="A22" s="1" t="s">
        <v>25</v>
      </c>
      <c r="B22" s="1" t="s">
        <v>1044</v>
      </c>
      <c r="C22" s="1" t="s">
        <v>23</v>
      </c>
      <c r="D22">
        <v>385257</v>
      </c>
      <c r="E22">
        <v>27744</v>
      </c>
      <c r="F22">
        <v>42378</v>
      </c>
      <c r="G22">
        <v>15</v>
      </c>
      <c r="H22" s="4">
        <v>106.2</v>
      </c>
      <c r="I22" s="2">
        <v>0.66666666666666696</v>
      </c>
      <c r="J22">
        <v>0</v>
      </c>
      <c r="K22">
        <v>0</v>
      </c>
      <c r="L22">
        <v>82</v>
      </c>
      <c r="M22" s="1" t="s">
        <v>1018</v>
      </c>
      <c r="N22" s="1" t="s">
        <v>1020</v>
      </c>
    </row>
    <row r="23" spans="1:14" x14ac:dyDescent="0.25">
      <c r="A23" s="1" t="s">
        <v>26</v>
      </c>
      <c r="B23" s="1" t="s">
        <v>1045</v>
      </c>
      <c r="C23" s="1" t="s">
        <v>23</v>
      </c>
      <c r="D23">
        <v>847791</v>
      </c>
      <c r="E23">
        <v>84226</v>
      </c>
      <c r="F23">
        <v>93257</v>
      </c>
      <c r="G23">
        <v>15</v>
      </c>
      <c r="H23" s="4">
        <v>81.2</v>
      </c>
      <c r="I23" s="2">
        <v>0.53333333333333299</v>
      </c>
      <c r="J23">
        <v>14</v>
      </c>
      <c r="K23">
        <v>1</v>
      </c>
      <c r="L23">
        <v>79</v>
      </c>
      <c r="M23" s="1" t="s">
        <v>1413</v>
      </c>
      <c r="N23" s="1" t="s">
        <v>1017</v>
      </c>
    </row>
    <row r="24" spans="1:14" x14ac:dyDescent="0.25">
      <c r="A24" s="1" t="s">
        <v>28</v>
      </c>
      <c r="B24" s="1" t="s">
        <v>1046</v>
      </c>
      <c r="C24" s="1" t="s">
        <v>23</v>
      </c>
      <c r="D24">
        <v>777059</v>
      </c>
      <c r="E24">
        <v>15425</v>
      </c>
      <c r="F24">
        <v>85476</v>
      </c>
      <c r="G24">
        <v>15</v>
      </c>
      <c r="H24" s="4">
        <v>96.299999999999983</v>
      </c>
      <c r="I24" s="2">
        <v>0.53333333333333299</v>
      </c>
      <c r="J24">
        <v>0</v>
      </c>
      <c r="K24">
        <v>0</v>
      </c>
      <c r="L24">
        <v>56</v>
      </c>
      <c r="M24" s="1" t="s">
        <v>1021</v>
      </c>
      <c r="N24" s="1" t="s">
        <v>1019</v>
      </c>
    </row>
    <row r="25" spans="1:14" x14ac:dyDescent="0.25">
      <c r="A25" s="1" t="s">
        <v>29</v>
      </c>
      <c r="B25" s="1" t="s">
        <v>1047</v>
      </c>
      <c r="C25" s="1" t="s">
        <v>12</v>
      </c>
      <c r="D25">
        <v>459265</v>
      </c>
      <c r="E25">
        <v>47709</v>
      </c>
      <c r="F25">
        <v>50519</v>
      </c>
      <c r="G25">
        <v>15</v>
      </c>
      <c r="H25" s="4">
        <v>80.8</v>
      </c>
      <c r="I25" s="2">
        <v>0.6</v>
      </c>
      <c r="J25">
        <v>0</v>
      </c>
      <c r="K25">
        <v>0</v>
      </c>
      <c r="L25">
        <v>73</v>
      </c>
      <c r="M25" s="1" t="s">
        <v>1413</v>
      </c>
      <c r="N25" s="1" t="s">
        <v>1017</v>
      </c>
    </row>
    <row r="26" spans="1:14" x14ac:dyDescent="0.25">
      <c r="A26" s="1" t="s">
        <v>177</v>
      </c>
      <c r="B26" s="1" t="s">
        <v>1165</v>
      </c>
      <c r="C26" s="1" t="s">
        <v>1037</v>
      </c>
      <c r="D26">
        <v>822265</v>
      </c>
      <c r="E26">
        <v>29503</v>
      </c>
      <c r="F26">
        <v>90449</v>
      </c>
      <c r="G26">
        <v>15</v>
      </c>
      <c r="H26" s="4">
        <v>107.5</v>
      </c>
      <c r="I26" s="2">
        <v>0.73333333333333295</v>
      </c>
      <c r="J26">
        <v>24</v>
      </c>
      <c r="K26">
        <v>4</v>
      </c>
      <c r="L26">
        <v>55</v>
      </c>
      <c r="M26" s="1" t="s">
        <v>1413</v>
      </c>
      <c r="N26" s="1" t="s">
        <v>1019</v>
      </c>
    </row>
    <row r="27" spans="1:14" x14ac:dyDescent="0.25">
      <c r="A27" s="1" t="s">
        <v>30</v>
      </c>
      <c r="B27" s="1" t="s">
        <v>1048</v>
      </c>
      <c r="C27" s="1" t="s">
        <v>9</v>
      </c>
      <c r="D27">
        <v>786075</v>
      </c>
      <c r="E27">
        <v>37210</v>
      </c>
      <c r="F27">
        <v>86468</v>
      </c>
      <c r="G27">
        <v>15</v>
      </c>
      <c r="H27" s="4">
        <v>119.6</v>
      </c>
      <c r="I27" s="2">
        <v>1</v>
      </c>
      <c r="J27">
        <v>8</v>
      </c>
      <c r="K27">
        <v>1</v>
      </c>
      <c r="L27">
        <v>71</v>
      </c>
      <c r="M27" s="1" t="s">
        <v>1014</v>
      </c>
      <c r="N27" s="1" t="s">
        <v>1017</v>
      </c>
    </row>
    <row r="28" spans="1:14" x14ac:dyDescent="0.25">
      <c r="A28" s="1" t="s">
        <v>31</v>
      </c>
      <c r="B28" s="1" t="s">
        <v>1049</v>
      </c>
      <c r="C28" s="1" t="s">
        <v>3</v>
      </c>
      <c r="D28">
        <v>498050</v>
      </c>
      <c r="E28">
        <v>68003</v>
      </c>
      <c r="F28">
        <v>54786</v>
      </c>
      <c r="G28">
        <v>15</v>
      </c>
      <c r="H28" s="4">
        <v>106.4</v>
      </c>
      <c r="I28" s="2">
        <v>0.8</v>
      </c>
      <c r="J28">
        <v>0</v>
      </c>
      <c r="K28">
        <v>0</v>
      </c>
      <c r="L28">
        <v>87</v>
      </c>
      <c r="M28" s="1" t="s">
        <v>1021</v>
      </c>
      <c r="N28" s="1" t="s">
        <v>1020</v>
      </c>
    </row>
    <row r="29" spans="1:14" x14ac:dyDescent="0.25">
      <c r="A29" s="1" t="s">
        <v>32</v>
      </c>
      <c r="B29" s="1" t="s">
        <v>1050</v>
      </c>
      <c r="C29" s="1" t="s">
        <v>23</v>
      </c>
      <c r="D29">
        <v>813434</v>
      </c>
      <c r="E29">
        <v>4591</v>
      </c>
      <c r="F29">
        <v>89478</v>
      </c>
      <c r="G29">
        <v>15</v>
      </c>
      <c r="H29" s="4">
        <v>114.1</v>
      </c>
      <c r="I29" s="2">
        <v>0.73333333333333295</v>
      </c>
      <c r="J29">
        <v>0</v>
      </c>
      <c r="K29">
        <v>0</v>
      </c>
      <c r="L29">
        <v>83</v>
      </c>
      <c r="M29" s="1" t="s">
        <v>1021</v>
      </c>
      <c r="N29" s="1" t="s">
        <v>1020</v>
      </c>
    </row>
    <row r="30" spans="1:14" x14ac:dyDescent="0.25">
      <c r="A30" s="1" t="s">
        <v>33</v>
      </c>
      <c r="B30" s="1" t="s">
        <v>1051</v>
      </c>
      <c r="C30" s="1" t="s">
        <v>27</v>
      </c>
      <c r="D30">
        <v>625517</v>
      </c>
      <c r="E30">
        <v>38822</v>
      </c>
      <c r="F30">
        <v>68807</v>
      </c>
      <c r="G30">
        <v>15</v>
      </c>
      <c r="H30" s="4">
        <v>113.4</v>
      </c>
      <c r="I30" s="2">
        <v>0.73333333333333295</v>
      </c>
      <c r="J30">
        <v>0</v>
      </c>
      <c r="K30">
        <v>0</v>
      </c>
      <c r="L30">
        <v>81</v>
      </c>
      <c r="M30" s="1" t="s">
        <v>1413</v>
      </c>
      <c r="N30" s="1" t="s">
        <v>1020</v>
      </c>
    </row>
    <row r="31" spans="1:14" x14ac:dyDescent="0.25">
      <c r="A31" s="1" t="s">
        <v>34</v>
      </c>
      <c r="B31" s="1" t="s">
        <v>1052</v>
      </c>
      <c r="C31" s="1" t="s">
        <v>7</v>
      </c>
      <c r="D31">
        <v>361659</v>
      </c>
      <c r="E31">
        <v>11848</v>
      </c>
      <c r="F31">
        <v>39782</v>
      </c>
      <c r="G31">
        <v>15</v>
      </c>
      <c r="H31" s="4">
        <v>90.8</v>
      </c>
      <c r="I31" s="2">
        <v>0.6</v>
      </c>
      <c r="J31">
        <v>14</v>
      </c>
      <c r="K31">
        <v>1</v>
      </c>
      <c r="L31">
        <v>70</v>
      </c>
      <c r="M31" s="1" t="s">
        <v>1413</v>
      </c>
      <c r="N31" s="1" t="s">
        <v>1017</v>
      </c>
    </row>
    <row r="32" spans="1:14" x14ac:dyDescent="0.25">
      <c r="A32" s="1" t="s">
        <v>174</v>
      </c>
      <c r="B32" s="1" t="s">
        <v>1163</v>
      </c>
      <c r="C32" s="1" t="s">
        <v>37</v>
      </c>
      <c r="D32">
        <v>517411</v>
      </c>
      <c r="E32">
        <v>66528</v>
      </c>
      <c r="F32">
        <v>56915</v>
      </c>
      <c r="G32">
        <v>14</v>
      </c>
      <c r="H32" s="4">
        <v>100.79999999999998</v>
      </c>
      <c r="I32" s="2">
        <v>0.78571428571428603</v>
      </c>
      <c r="J32">
        <v>9</v>
      </c>
      <c r="K32">
        <v>1</v>
      </c>
      <c r="L32">
        <v>76</v>
      </c>
      <c r="M32" s="1" t="s">
        <v>1018</v>
      </c>
      <c r="N32" s="1" t="s">
        <v>1017</v>
      </c>
    </row>
    <row r="33" spans="1:14" x14ac:dyDescent="0.25">
      <c r="A33" s="1" t="s">
        <v>35</v>
      </c>
      <c r="B33" s="1" t="s">
        <v>1053</v>
      </c>
      <c r="C33" s="1" t="s">
        <v>5</v>
      </c>
      <c r="D33">
        <v>810537</v>
      </c>
      <c r="E33">
        <v>25851</v>
      </c>
      <c r="F33">
        <v>89159</v>
      </c>
      <c r="G33">
        <v>14</v>
      </c>
      <c r="H33" s="4">
        <v>98.7</v>
      </c>
      <c r="I33" s="2">
        <v>0.78571428571428603</v>
      </c>
      <c r="J33">
        <v>10</v>
      </c>
      <c r="K33">
        <v>3</v>
      </c>
      <c r="L33">
        <v>62</v>
      </c>
      <c r="M33" s="1" t="s">
        <v>1014</v>
      </c>
      <c r="N33" s="1" t="s">
        <v>1019</v>
      </c>
    </row>
    <row r="34" spans="1:14" x14ac:dyDescent="0.25">
      <c r="A34" s="1" t="s">
        <v>36</v>
      </c>
      <c r="B34" s="1" t="s">
        <v>1054</v>
      </c>
      <c r="C34" s="1" t="s">
        <v>37</v>
      </c>
      <c r="D34">
        <v>492219</v>
      </c>
      <c r="E34">
        <v>80668</v>
      </c>
      <c r="F34">
        <v>54144</v>
      </c>
      <c r="G34">
        <v>15</v>
      </c>
      <c r="H34" s="4">
        <v>115</v>
      </c>
      <c r="I34" s="2">
        <v>0.86666666666666703</v>
      </c>
      <c r="J34">
        <v>0</v>
      </c>
      <c r="K34">
        <v>0</v>
      </c>
      <c r="L34">
        <v>100</v>
      </c>
      <c r="M34" s="1" t="s">
        <v>1016</v>
      </c>
      <c r="N34" s="1" t="s">
        <v>1015</v>
      </c>
    </row>
    <row r="35" spans="1:14" x14ac:dyDescent="0.25">
      <c r="A35" s="1" t="s">
        <v>38</v>
      </c>
      <c r="B35" s="1" t="s">
        <v>1055</v>
      </c>
      <c r="C35" s="1" t="s">
        <v>7</v>
      </c>
      <c r="D35">
        <v>445298</v>
      </c>
      <c r="E35">
        <v>78164</v>
      </c>
      <c r="F35">
        <v>48983</v>
      </c>
      <c r="G35">
        <v>15</v>
      </c>
      <c r="H35" s="4">
        <v>103.89999999999999</v>
      </c>
      <c r="I35" s="2">
        <v>0.6</v>
      </c>
      <c r="J35">
        <v>0</v>
      </c>
      <c r="K35">
        <v>0</v>
      </c>
      <c r="L35">
        <v>69</v>
      </c>
      <c r="M35" s="1" t="s">
        <v>1018</v>
      </c>
      <c r="N35" s="1" t="s">
        <v>1019</v>
      </c>
    </row>
    <row r="36" spans="1:14" x14ac:dyDescent="0.25">
      <c r="A36" s="1" t="s">
        <v>301</v>
      </c>
      <c r="B36" s="1" t="s">
        <v>1239</v>
      </c>
      <c r="C36" s="1" t="s">
        <v>27</v>
      </c>
      <c r="D36">
        <v>474637</v>
      </c>
      <c r="E36">
        <v>53398</v>
      </c>
      <c r="F36">
        <v>52210</v>
      </c>
      <c r="G36">
        <v>15</v>
      </c>
      <c r="H36" s="4">
        <v>97.000000000000014</v>
      </c>
      <c r="I36" s="2">
        <v>0.8</v>
      </c>
      <c r="J36">
        <v>22</v>
      </c>
      <c r="K36">
        <v>2</v>
      </c>
      <c r="L36">
        <v>93</v>
      </c>
      <c r="M36" s="1" t="s">
        <v>1021</v>
      </c>
      <c r="N36" s="1" t="s">
        <v>1015</v>
      </c>
    </row>
    <row r="37" spans="1:14" x14ac:dyDescent="0.25">
      <c r="A37" s="1" t="s">
        <v>39</v>
      </c>
      <c r="B37" s="1" t="s">
        <v>1056</v>
      </c>
      <c r="C37" s="1" t="s">
        <v>9</v>
      </c>
      <c r="D37">
        <v>378430</v>
      </c>
      <c r="E37">
        <v>30079</v>
      </c>
      <c r="F37">
        <v>41627</v>
      </c>
      <c r="G37">
        <v>15</v>
      </c>
      <c r="H37" s="4">
        <v>101.6</v>
      </c>
      <c r="I37" s="2">
        <v>0.8</v>
      </c>
      <c r="J37">
        <v>0</v>
      </c>
      <c r="K37">
        <v>0</v>
      </c>
      <c r="L37">
        <v>64</v>
      </c>
      <c r="M37" s="1" t="s">
        <v>1413</v>
      </c>
      <c r="N37" s="1" t="s">
        <v>1019</v>
      </c>
    </row>
    <row r="38" spans="1:14" x14ac:dyDescent="0.25">
      <c r="A38" s="1" t="s">
        <v>40</v>
      </c>
      <c r="B38" s="1" t="s">
        <v>1057</v>
      </c>
      <c r="C38" s="1" t="s">
        <v>27</v>
      </c>
      <c r="D38">
        <v>788192</v>
      </c>
      <c r="E38">
        <v>87690</v>
      </c>
      <c r="F38">
        <v>86701</v>
      </c>
      <c r="G38">
        <v>15</v>
      </c>
      <c r="H38" s="4">
        <v>102.69999999999999</v>
      </c>
      <c r="I38" s="2">
        <v>0.8</v>
      </c>
      <c r="J38">
        <v>2</v>
      </c>
      <c r="K38">
        <v>1</v>
      </c>
      <c r="L38">
        <v>59</v>
      </c>
      <c r="M38" s="1" t="s">
        <v>1014</v>
      </c>
      <c r="N38" s="1" t="s">
        <v>1019</v>
      </c>
    </row>
    <row r="39" spans="1:14" x14ac:dyDescent="0.25">
      <c r="A39" s="1" t="s">
        <v>41</v>
      </c>
      <c r="B39" s="1" t="s">
        <v>1058</v>
      </c>
      <c r="C39" s="1" t="s">
        <v>1037</v>
      </c>
      <c r="D39">
        <v>611342</v>
      </c>
      <c r="E39">
        <v>36372</v>
      </c>
      <c r="F39">
        <v>67248</v>
      </c>
      <c r="G39">
        <v>15</v>
      </c>
      <c r="H39" s="4">
        <v>111.30000000000001</v>
      </c>
      <c r="I39" s="2">
        <v>0.73333333333333295</v>
      </c>
      <c r="J39">
        <v>6</v>
      </c>
      <c r="K39">
        <v>1</v>
      </c>
      <c r="L39">
        <v>61</v>
      </c>
      <c r="M39" s="1" t="s">
        <v>1016</v>
      </c>
      <c r="N39" s="1" t="s">
        <v>1019</v>
      </c>
    </row>
    <row r="40" spans="1:14" x14ac:dyDescent="0.25">
      <c r="A40" s="1" t="s">
        <v>42</v>
      </c>
      <c r="B40" s="1" t="s">
        <v>1046</v>
      </c>
      <c r="C40" s="1" t="s">
        <v>23</v>
      </c>
      <c r="D40">
        <v>552022</v>
      </c>
      <c r="E40">
        <v>8198</v>
      </c>
      <c r="F40">
        <v>60722</v>
      </c>
      <c r="G40">
        <v>15</v>
      </c>
      <c r="H40" s="4">
        <v>103.4</v>
      </c>
      <c r="I40" s="2">
        <v>0.73333333333333295</v>
      </c>
      <c r="J40">
        <v>0</v>
      </c>
      <c r="K40">
        <v>0</v>
      </c>
      <c r="L40">
        <v>66</v>
      </c>
      <c r="M40" s="1" t="s">
        <v>1016</v>
      </c>
      <c r="N40" s="1" t="s">
        <v>1019</v>
      </c>
    </row>
    <row r="41" spans="1:14" x14ac:dyDescent="0.25">
      <c r="A41" s="1" t="s">
        <v>43</v>
      </c>
      <c r="B41" s="1" t="s">
        <v>1059</v>
      </c>
      <c r="C41" s="1" t="s">
        <v>12</v>
      </c>
      <c r="D41">
        <v>319226</v>
      </c>
      <c r="E41">
        <v>46560</v>
      </c>
      <c r="F41">
        <v>35115</v>
      </c>
      <c r="G41">
        <v>15</v>
      </c>
      <c r="H41" s="4">
        <v>110.8</v>
      </c>
      <c r="I41" s="2">
        <v>0.73333333333333295</v>
      </c>
      <c r="J41">
        <v>0</v>
      </c>
      <c r="K41">
        <v>0</v>
      </c>
      <c r="L41">
        <v>69</v>
      </c>
      <c r="M41" s="1" t="s">
        <v>1014</v>
      </c>
      <c r="N41" s="1" t="s">
        <v>1019</v>
      </c>
    </row>
    <row r="42" spans="1:14" x14ac:dyDescent="0.25">
      <c r="A42" s="1" t="s">
        <v>44</v>
      </c>
      <c r="B42" s="1" t="s">
        <v>1060</v>
      </c>
      <c r="C42" s="1" t="s">
        <v>7</v>
      </c>
      <c r="D42">
        <v>470621</v>
      </c>
      <c r="E42">
        <v>39610</v>
      </c>
      <c r="F42">
        <v>51768</v>
      </c>
      <c r="G42">
        <v>15</v>
      </c>
      <c r="H42" s="4">
        <v>108.20000000000002</v>
      </c>
      <c r="I42" s="2">
        <v>0.73333333333333295</v>
      </c>
      <c r="J42">
        <v>11</v>
      </c>
      <c r="K42">
        <v>1</v>
      </c>
      <c r="L42">
        <v>70</v>
      </c>
      <c r="M42" s="1" t="s">
        <v>1413</v>
      </c>
      <c r="N42" s="1" t="s">
        <v>1017</v>
      </c>
    </row>
    <row r="43" spans="1:14" x14ac:dyDescent="0.25">
      <c r="A43" s="1" t="s">
        <v>45</v>
      </c>
      <c r="B43" s="1" t="s">
        <v>1061</v>
      </c>
      <c r="C43" s="1" t="s">
        <v>5</v>
      </c>
      <c r="D43">
        <v>414144</v>
      </c>
      <c r="E43">
        <v>67484</v>
      </c>
      <c r="F43">
        <v>45556</v>
      </c>
      <c r="G43">
        <v>15</v>
      </c>
      <c r="H43" s="4">
        <v>96.4</v>
      </c>
      <c r="I43" s="2">
        <v>0.73333333333333295</v>
      </c>
      <c r="J43">
        <v>0</v>
      </c>
      <c r="K43">
        <v>0</v>
      </c>
      <c r="L43">
        <v>76</v>
      </c>
      <c r="M43" s="1" t="s">
        <v>1413</v>
      </c>
      <c r="N43" s="1" t="s">
        <v>1017</v>
      </c>
    </row>
    <row r="44" spans="1:14" x14ac:dyDescent="0.25">
      <c r="A44" s="1" t="s">
        <v>46</v>
      </c>
      <c r="B44" s="1" t="s">
        <v>1062</v>
      </c>
      <c r="C44" s="1" t="s">
        <v>3</v>
      </c>
      <c r="D44">
        <v>754711</v>
      </c>
      <c r="E44">
        <v>29239</v>
      </c>
      <c r="F44">
        <v>83018</v>
      </c>
      <c r="G44">
        <v>15</v>
      </c>
      <c r="H44" s="4">
        <v>93</v>
      </c>
      <c r="I44" s="2">
        <v>0.66666666666666696</v>
      </c>
      <c r="J44">
        <v>0</v>
      </c>
      <c r="K44">
        <v>0</v>
      </c>
      <c r="L44">
        <v>69</v>
      </c>
      <c r="M44" s="1" t="s">
        <v>1413</v>
      </c>
      <c r="N44" s="1" t="s">
        <v>1019</v>
      </c>
    </row>
    <row r="45" spans="1:14" x14ac:dyDescent="0.25">
      <c r="A45" s="1" t="s">
        <v>47</v>
      </c>
      <c r="B45" s="1" t="s">
        <v>1063</v>
      </c>
      <c r="C45" s="1" t="s">
        <v>3</v>
      </c>
      <c r="D45">
        <v>810777</v>
      </c>
      <c r="E45">
        <v>48438</v>
      </c>
      <c r="F45">
        <v>89185</v>
      </c>
      <c r="G45">
        <v>14</v>
      </c>
      <c r="H45" s="4">
        <v>97.4</v>
      </c>
      <c r="I45" s="2">
        <v>0.78571428571428603</v>
      </c>
      <c r="J45">
        <v>0</v>
      </c>
      <c r="K45">
        <v>0</v>
      </c>
      <c r="L45">
        <v>88</v>
      </c>
      <c r="M45" s="1" t="s">
        <v>1016</v>
      </c>
      <c r="N45" s="1" t="s">
        <v>1020</v>
      </c>
    </row>
    <row r="46" spans="1:14" x14ac:dyDescent="0.25">
      <c r="A46" s="1" t="s">
        <v>111</v>
      </c>
      <c r="B46" s="1" t="s">
        <v>1118</v>
      </c>
      <c r="C46" s="1" t="s">
        <v>1037</v>
      </c>
      <c r="D46">
        <v>571070</v>
      </c>
      <c r="E46">
        <v>41095</v>
      </c>
      <c r="F46">
        <v>62818</v>
      </c>
      <c r="G46">
        <v>15</v>
      </c>
      <c r="H46" s="4">
        <v>109.60000000000001</v>
      </c>
      <c r="I46" s="2">
        <v>0.86666666666666703</v>
      </c>
      <c r="J46">
        <v>16</v>
      </c>
      <c r="K46">
        <v>2</v>
      </c>
      <c r="L46">
        <v>77</v>
      </c>
      <c r="M46" s="1" t="s">
        <v>1016</v>
      </c>
      <c r="N46" s="1" t="s">
        <v>1017</v>
      </c>
    </row>
    <row r="47" spans="1:14" x14ac:dyDescent="0.25">
      <c r="A47" s="1" t="s">
        <v>48</v>
      </c>
      <c r="B47" s="1" t="s">
        <v>1064</v>
      </c>
      <c r="C47" s="1" t="s">
        <v>9</v>
      </c>
      <c r="D47">
        <v>636057</v>
      </c>
      <c r="E47">
        <v>25794</v>
      </c>
      <c r="F47">
        <v>69966</v>
      </c>
      <c r="G47">
        <v>15</v>
      </c>
      <c r="H47" s="4">
        <v>112.7</v>
      </c>
      <c r="I47" s="2">
        <v>0.86666666666666703</v>
      </c>
      <c r="J47">
        <v>0</v>
      </c>
      <c r="K47">
        <v>0</v>
      </c>
      <c r="L47">
        <v>76</v>
      </c>
      <c r="M47" s="1" t="s">
        <v>1413</v>
      </c>
      <c r="N47" s="1" t="s">
        <v>1017</v>
      </c>
    </row>
    <row r="48" spans="1:14" x14ac:dyDescent="0.25">
      <c r="A48" s="1" t="s">
        <v>49</v>
      </c>
      <c r="B48" s="1" t="s">
        <v>1065</v>
      </c>
      <c r="C48" s="1" t="s">
        <v>9</v>
      </c>
      <c r="D48">
        <v>524755</v>
      </c>
      <c r="E48">
        <v>31322</v>
      </c>
      <c r="F48">
        <v>57723</v>
      </c>
      <c r="G48">
        <v>15</v>
      </c>
      <c r="H48" s="4">
        <v>86.199999999999989</v>
      </c>
      <c r="I48" s="2">
        <v>0.73333333333333295</v>
      </c>
      <c r="J48">
        <v>0</v>
      </c>
      <c r="K48">
        <v>0</v>
      </c>
      <c r="L48">
        <v>67</v>
      </c>
      <c r="M48" s="1" t="s">
        <v>1413</v>
      </c>
      <c r="N48" s="1" t="s">
        <v>1019</v>
      </c>
    </row>
    <row r="49" spans="1:14" x14ac:dyDescent="0.25">
      <c r="A49" s="1" t="s">
        <v>50</v>
      </c>
      <c r="B49" s="1" t="s">
        <v>1066</v>
      </c>
      <c r="C49" s="1" t="s">
        <v>3</v>
      </c>
      <c r="D49">
        <v>556164</v>
      </c>
      <c r="E49">
        <v>6742</v>
      </c>
      <c r="F49">
        <v>61178</v>
      </c>
      <c r="G49">
        <v>14</v>
      </c>
      <c r="H49" s="4">
        <v>106.2</v>
      </c>
      <c r="I49" s="2">
        <v>0.71428571428571397</v>
      </c>
      <c r="J49">
        <v>0</v>
      </c>
      <c r="K49">
        <v>0</v>
      </c>
      <c r="L49">
        <v>94</v>
      </c>
      <c r="M49" s="1" t="s">
        <v>1413</v>
      </c>
      <c r="N49" s="1" t="s">
        <v>1015</v>
      </c>
    </row>
    <row r="50" spans="1:14" x14ac:dyDescent="0.25">
      <c r="A50" s="1" t="s">
        <v>219</v>
      </c>
      <c r="B50" s="1" t="s">
        <v>1192</v>
      </c>
      <c r="C50" s="1" t="s">
        <v>1037</v>
      </c>
      <c r="D50">
        <v>638974</v>
      </c>
      <c r="E50">
        <v>44703</v>
      </c>
      <c r="F50">
        <v>70287</v>
      </c>
      <c r="G50">
        <v>15</v>
      </c>
      <c r="H50" s="4">
        <v>109.50000000000001</v>
      </c>
      <c r="I50" s="2">
        <v>0.66666666666666696</v>
      </c>
      <c r="J50">
        <v>6</v>
      </c>
      <c r="K50">
        <v>1</v>
      </c>
      <c r="L50">
        <v>78</v>
      </c>
      <c r="M50" s="1" t="s">
        <v>1021</v>
      </c>
      <c r="N50" s="1" t="s">
        <v>1017</v>
      </c>
    </row>
    <row r="51" spans="1:14" x14ac:dyDescent="0.25">
      <c r="A51" s="1" t="s">
        <v>51</v>
      </c>
      <c r="B51" s="1" t="s">
        <v>1067</v>
      </c>
      <c r="C51" s="1" t="s">
        <v>52</v>
      </c>
      <c r="D51">
        <v>311727</v>
      </c>
      <c r="E51">
        <v>74686</v>
      </c>
      <c r="F51">
        <v>34290</v>
      </c>
      <c r="G51">
        <v>15</v>
      </c>
      <c r="H51" s="4">
        <v>93.3</v>
      </c>
      <c r="I51" s="2">
        <v>0.73333333333333295</v>
      </c>
      <c r="J51">
        <v>0</v>
      </c>
      <c r="K51">
        <v>0</v>
      </c>
      <c r="L51">
        <v>68</v>
      </c>
      <c r="M51" s="1" t="s">
        <v>1014</v>
      </c>
      <c r="N51" s="1" t="s">
        <v>1019</v>
      </c>
    </row>
    <row r="52" spans="1:14" x14ac:dyDescent="0.25">
      <c r="A52" s="1" t="s">
        <v>53</v>
      </c>
      <c r="B52" s="1" t="s">
        <v>1063</v>
      </c>
      <c r="C52" s="1" t="s">
        <v>27</v>
      </c>
      <c r="D52">
        <v>719619</v>
      </c>
      <c r="E52">
        <v>7776</v>
      </c>
      <c r="F52">
        <v>79158</v>
      </c>
      <c r="G52">
        <v>15</v>
      </c>
      <c r="H52" s="4">
        <v>112.9</v>
      </c>
      <c r="I52" s="2">
        <v>0.66666666666666696</v>
      </c>
      <c r="J52">
        <v>0</v>
      </c>
      <c r="K52">
        <v>0</v>
      </c>
      <c r="L52">
        <v>69</v>
      </c>
      <c r="M52" s="1" t="s">
        <v>1018</v>
      </c>
      <c r="N52" s="1" t="s">
        <v>1019</v>
      </c>
    </row>
    <row r="53" spans="1:14" x14ac:dyDescent="0.25">
      <c r="A53" s="1" t="s">
        <v>54</v>
      </c>
      <c r="B53" s="1" t="s">
        <v>1068</v>
      </c>
      <c r="C53" s="1" t="s">
        <v>7</v>
      </c>
      <c r="D53">
        <v>687407</v>
      </c>
      <c r="E53">
        <v>56807</v>
      </c>
      <c r="F53">
        <v>75615</v>
      </c>
      <c r="G53">
        <v>15</v>
      </c>
      <c r="H53" s="4">
        <v>103.19999999999997</v>
      </c>
      <c r="I53" s="2">
        <v>0.86666666666666703</v>
      </c>
      <c r="J53">
        <v>0</v>
      </c>
      <c r="K53">
        <v>0</v>
      </c>
      <c r="L53">
        <v>69</v>
      </c>
      <c r="M53" s="1" t="s">
        <v>1016</v>
      </c>
      <c r="N53" s="1" t="s">
        <v>1019</v>
      </c>
    </row>
    <row r="54" spans="1:14" x14ac:dyDescent="0.25">
      <c r="A54" s="1" t="s">
        <v>55</v>
      </c>
      <c r="B54" s="1" t="s">
        <v>1069</v>
      </c>
      <c r="C54" s="1" t="s">
        <v>12</v>
      </c>
      <c r="D54">
        <v>803041</v>
      </c>
      <c r="E54">
        <v>84686</v>
      </c>
      <c r="F54">
        <v>88335</v>
      </c>
      <c r="G54">
        <v>14</v>
      </c>
      <c r="H54" s="4">
        <v>96.6</v>
      </c>
      <c r="I54" s="2">
        <v>0.78571428571428603</v>
      </c>
      <c r="J54">
        <v>10</v>
      </c>
      <c r="K54">
        <v>1</v>
      </c>
      <c r="L54">
        <v>69</v>
      </c>
      <c r="M54" s="1" t="s">
        <v>1018</v>
      </c>
      <c r="N54" s="1" t="s">
        <v>1019</v>
      </c>
    </row>
    <row r="55" spans="1:14" x14ac:dyDescent="0.25">
      <c r="A55" s="1" t="s">
        <v>56</v>
      </c>
      <c r="B55" s="1" t="s">
        <v>1070</v>
      </c>
      <c r="C55" s="1" t="s">
        <v>27</v>
      </c>
      <c r="D55">
        <v>594628</v>
      </c>
      <c r="E55">
        <v>87239</v>
      </c>
      <c r="F55">
        <v>65409</v>
      </c>
      <c r="G55">
        <v>15</v>
      </c>
      <c r="H55" s="4">
        <v>104.9</v>
      </c>
      <c r="I55" s="2">
        <v>0.73333333333333295</v>
      </c>
      <c r="J55">
        <v>14</v>
      </c>
      <c r="K55">
        <v>1</v>
      </c>
      <c r="L55">
        <v>70</v>
      </c>
      <c r="M55" s="1" t="s">
        <v>1413</v>
      </c>
      <c r="N55" s="1" t="s">
        <v>1017</v>
      </c>
    </row>
    <row r="56" spans="1:14" x14ac:dyDescent="0.25">
      <c r="A56" s="1" t="s">
        <v>57</v>
      </c>
      <c r="B56" s="1" t="s">
        <v>1035</v>
      </c>
      <c r="C56" s="1" t="s">
        <v>23</v>
      </c>
      <c r="D56">
        <v>695709</v>
      </c>
      <c r="E56">
        <v>22720</v>
      </c>
      <c r="F56">
        <v>76528</v>
      </c>
      <c r="G56">
        <v>14</v>
      </c>
      <c r="H56" s="4">
        <v>105.39999999999999</v>
      </c>
      <c r="I56" s="2">
        <v>0.78571428571428603</v>
      </c>
      <c r="J56">
        <v>0</v>
      </c>
      <c r="K56">
        <v>0</v>
      </c>
      <c r="L56">
        <v>74</v>
      </c>
      <c r="M56" s="1" t="s">
        <v>1018</v>
      </c>
      <c r="N56" s="1" t="s">
        <v>1017</v>
      </c>
    </row>
    <row r="57" spans="1:14" x14ac:dyDescent="0.25">
      <c r="A57" s="1" t="s">
        <v>58</v>
      </c>
      <c r="B57" s="1" t="s">
        <v>1071</v>
      </c>
      <c r="C57" s="1" t="s">
        <v>27</v>
      </c>
      <c r="D57">
        <v>457800</v>
      </c>
      <c r="E57">
        <v>41715</v>
      </c>
      <c r="F57">
        <v>50358</v>
      </c>
      <c r="G57">
        <v>14</v>
      </c>
      <c r="H57" s="4">
        <v>89.3</v>
      </c>
      <c r="I57" s="2">
        <v>0.71428571428571397</v>
      </c>
      <c r="J57">
        <v>0</v>
      </c>
      <c r="K57">
        <v>0</v>
      </c>
      <c r="L57">
        <v>75</v>
      </c>
      <c r="M57" s="1" t="s">
        <v>1018</v>
      </c>
      <c r="N57" s="1" t="s">
        <v>1017</v>
      </c>
    </row>
    <row r="58" spans="1:14" x14ac:dyDescent="0.25">
      <c r="A58" s="1" t="s">
        <v>304</v>
      </c>
      <c r="B58" s="1" t="s">
        <v>1187</v>
      </c>
      <c r="C58" s="1" t="s">
        <v>7</v>
      </c>
      <c r="D58">
        <v>790379</v>
      </c>
      <c r="E58">
        <v>89904</v>
      </c>
      <c r="F58">
        <v>86942</v>
      </c>
      <c r="G58">
        <v>15</v>
      </c>
      <c r="H58" s="4">
        <v>112.7</v>
      </c>
      <c r="I58" s="2">
        <v>0.8</v>
      </c>
      <c r="J58">
        <v>2</v>
      </c>
      <c r="K58">
        <v>1</v>
      </c>
      <c r="L58">
        <v>71</v>
      </c>
      <c r="M58" s="1" t="s">
        <v>1014</v>
      </c>
      <c r="N58" s="1" t="s">
        <v>1017</v>
      </c>
    </row>
    <row r="59" spans="1:14" x14ac:dyDescent="0.25">
      <c r="A59" s="1" t="s">
        <v>59</v>
      </c>
      <c r="B59" s="1" t="s">
        <v>1072</v>
      </c>
      <c r="C59" s="1" t="s">
        <v>37</v>
      </c>
      <c r="D59">
        <v>331582</v>
      </c>
      <c r="E59">
        <v>83695</v>
      </c>
      <c r="F59">
        <v>36474</v>
      </c>
      <c r="G59">
        <v>15</v>
      </c>
      <c r="H59" s="4">
        <v>108.8</v>
      </c>
      <c r="I59" s="2">
        <v>0.73333333333333295</v>
      </c>
      <c r="J59">
        <v>0</v>
      </c>
      <c r="K59">
        <v>0</v>
      </c>
      <c r="L59">
        <v>76</v>
      </c>
      <c r="M59" s="1" t="s">
        <v>1014</v>
      </c>
      <c r="N59" s="1" t="s">
        <v>1017</v>
      </c>
    </row>
    <row r="60" spans="1:14" x14ac:dyDescent="0.25">
      <c r="A60" s="1" t="s">
        <v>60</v>
      </c>
      <c r="B60" s="1" t="s">
        <v>1046</v>
      </c>
      <c r="C60" s="1" t="s">
        <v>3</v>
      </c>
      <c r="D60">
        <v>337116</v>
      </c>
      <c r="E60">
        <v>50943</v>
      </c>
      <c r="F60">
        <v>37083</v>
      </c>
      <c r="G60">
        <v>15</v>
      </c>
      <c r="H60" s="4">
        <v>99.899999999999991</v>
      </c>
      <c r="I60" s="2">
        <v>0.86666666666666703</v>
      </c>
      <c r="J60">
        <v>9</v>
      </c>
      <c r="K60">
        <v>1</v>
      </c>
      <c r="L60">
        <v>83</v>
      </c>
      <c r="M60" s="1" t="s">
        <v>1014</v>
      </c>
      <c r="N60" s="1" t="s">
        <v>1020</v>
      </c>
    </row>
    <row r="61" spans="1:14" x14ac:dyDescent="0.25">
      <c r="A61" s="1" t="s">
        <v>81</v>
      </c>
      <c r="B61" s="1" t="s">
        <v>1091</v>
      </c>
      <c r="C61" s="1" t="s">
        <v>7</v>
      </c>
      <c r="D61">
        <v>571664</v>
      </c>
      <c r="E61">
        <v>74731</v>
      </c>
      <c r="F61">
        <v>62883</v>
      </c>
      <c r="G61">
        <v>15</v>
      </c>
      <c r="H61" s="4">
        <v>93.7</v>
      </c>
      <c r="I61" s="2">
        <v>0.8</v>
      </c>
      <c r="J61">
        <v>10</v>
      </c>
      <c r="K61">
        <v>3</v>
      </c>
      <c r="L61">
        <v>64</v>
      </c>
      <c r="M61" s="1" t="s">
        <v>1016</v>
      </c>
      <c r="N61" s="1" t="s">
        <v>1019</v>
      </c>
    </row>
    <row r="62" spans="1:14" x14ac:dyDescent="0.25">
      <c r="A62" s="1" t="s">
        <v>61</v>
      </c>
      <c r="B62" s="1" t="s">
        <v>1073</v>
      </c>
      <c r="C62" s="1" t="s">
        <v>52</v>
      </c>
      <c r="D62">
        <v>299812</v>
      </c>
      <c r="E62">
        <v>37807</v>
      </c>
      <c r="F62">
        <v>32979</v>
      </c>
      <c r="G62">
        <v>15</v>
      </c>
      <c r="H62" s="4">
        <v>112.9</v>
      </c>
      <c r="I62" s="2">
        <v>0.93333333333333302</v>
      </c>
      <c r="J62">
        <v>3</v>
      </c>
      <c r="K62">
        <v>1</v>
      </c>
      <c r="L62">
        <v>81</v>
      </c>
      <c r="M62" s="1" t="s">
        <v>1016</v>
      </c>
      <c r="N62" s="1" t="s">
        <v>1020</v>
      </c>
    </row>
    <row r="63" spans="1:14" x14ac:dyDescent="0.25">
      <c r="A63" s="1" t="s">
        <v>62</v>
      </c>
      <c r="B63" s="1" t="s">
        <v>1074</v>
      </c>
      <c r="C63" s="1" t="s">
        <v>1037</v>
      </c>
      <c r="D63">
        <v>609500</v>
      </c>
      <c r="E63">
        <v>59896</v>
      </c>
      <c r="F63">
        <v>67045</v>
      </c>
      <c r="G63">
        <v>15</v>
      </c>
      <c r="H63" s="4">
        <v>117.7</v>
      </c>
      <c r="I63" s="2">
        <v>0.86666666666666703</v>
      </c>
      <c r="J63">
        <v>6</v>
      </c>
      <c r="K63">
        <v>1</v>
      </c>
      <c r="L63">
        <v>80</v>
      </c>
      <c r="M63" s="1" t="s">
        <v>1014</v>
      </c>
      <c r="N63" s="1" t="s">
        <v>1020</v>
      </c>
    </row>
    <row r="64" spans="1:14" x14ac:dyDescent="0.25">
      <c r="A64" s="1" t="s">
        <v>383</v>
      </c>
      <c r="B64" s="1" t="s">
        <v>1279</v>
      </c>
      <c r="C64" s="1" t="s">
        <v>37</v>
      </c>
      <c r="D64">
        <v>458794</v>
      </c>
      <c r="E64">
        <v>76937</v>
      </c>
      <c r="F64">
        <v>50467</v>
      </c>
      <c r="G64">
        <v>15</v>
      </c>
      <c r="H64" s="4">
        <v>113</v>
      </c>
      <c r="I64" s="2">
        <v>0.66666666666666696</v>
      </c>
      <c r="J64">
        <v>11</v>
      </c>
      <c r="K64">
        <v>1</v>
      </c>
      <c r="L64">
        <v>79</v>
      </c>
      <c r="M64" s="1" t="s">
        <v>1413</v>
      </c>
      <c r="N64" s="1" t="s">
        <v>1017</v>
      </c>
    </row>
    <row r="65" spans="1:14" x14ac:dyDescent="0.25">
      <c r="A65" s="1" t="s">
        <v>63</v>
      </c>
      <c r="B65" s="1" t="s">
        <v>1075</v>
      </c>
      <c r="C65" s="1" t="s">
        <v>7</v>
      </c>
      <c r="D65">
        <v>236459</v>
      </c>
      <c r="E65">
        <v>746</v>
      </c>
      <c r="F65">
        <v>26010</v>
      </c>
      <c r="G65">
        <v>15</v>
      </c>
      <c r="H65" s="4">
        <v>95.499999999999986</v>
      </c>
      <c r="I65" s="2">
        <v>0.66666666666666696</v>
      </c>
      <c r="J65">
        <v>0</v>
      </c>
      <c r="K65">
        <v>0</v>
      </c>
      <c r="L65">
        <v>84</v>
      </c>
      <c r="M65" s="1" t="s">
        <v>1413</v>
      </c>
      <c r="N65" s="1" t="s">
        <v>1020</v>
      </c>
    </row>
    <row r="66" spans="1:14" x14ac:dyDescent="0.25">
      <c r="A66" s="1" t="s">
        <v>64</v>
      </c>
      <c r="B66" s="1" t="s">
        <v>1076</v>
      </c>
      <c r="C66" s="1" t="s">
        <v>9</v>
      </c>
      <c r="D66">
        <v>640995</v>
      </c>
      <c r="E66">
        <v>45908</v>
      </c>
      <c r="F66">
        <v>70509</v>
      </c>
      <c r="G66">
        <v>15</v>
      </c>
      <c r="H66" s="4">
        <v>97.4</v>
      </c>
      <c r="I66" s="2">
        <v>0.6</v>
      </c>
      <c r="J66">
        <v>0</v>
      </c>
      <c r="K66">
        <v>0</v>
      </c>
      <c r="L66">
        <v>57</v>
      </c>
      <c r="M66" s="1" t="s">
        <v>1413</v>
      </c>
      <c r="N66" s="1" t="s">
        <v>1019</v>
      </c>
    </row>
    <row r="67" spans="1:14" x14ac:dyDescent="0.25">
      <c r="A67" s="1" t="s">
        <v>65</v>
      </c>
      <c r="B67" s="1" t="s">
        <v>1077</v>
      </c>
      <c r="C67" s="1" t="s">
        <v>12</v>
      </c>
      <c r="D67">
        <v>351565</v>
      </c>
      <c r="E67">
        <v>51330</v>
      </c>
      <c r="G67">
        <v>14</v>
      </c>
      <c r="H67" s="4">
        <v>104</v>
      </c>
      <c r="I67" s="2">
        <v>0.92857142857142905</v>
      </c>
      <c r="J67">
        <v>7</v>
      </c>
      <c r="K67">
        <v>1</v>
      </c>
      <c r="L67">
        <v>58</v>
      </c>
      <c r="M67" s="1" t="s">
        <v>1413</v>
      </c>
      <c r="N67" s="1" t="s">
        <v>1019</v>
      </c>
    </row>
    <row r="68" spans="1:14" x14ac:dyDescent="0.25">
      <c r="A68" s="1" t="s">
        <v>66</v>
      </c>
      <c r="B68" s="1" t="s">
        <v>1078</v>
      </c>
      <c r="C68" s="1" t="s">
        <v>7</v>
      </c>
      <c r="D68">
        <v>460506</v>
      </c>
      <c r="E68">
        <v>65953</v>
      </c>
      <c r="F68">
        <v>50656</v>
      </c>
      <c r="G68">
        <v>15</v>
      </c>
      <c r="H68" s="4">
        <v>117.39999999999998</v>
      </c>
      <c r="I68" s="2">
        <v>0.93333333333333302</v>
      </c>
      <c r="J68">
        <v>11</v>
      </c>
      <c r="K68">
        <v>1</v>
      </c>
      <c r="L68">
        <v>86</v>
      </c>
      <c r="M68" s="1" t="s">
        <v>1016</v>
      </c>
      <c r="N68" s="1" t="s">
        <v>1020</v>
      </c>
    </row>
    <row r="69" spans="1:14" x14ac:dyDescent="0.25">
      <c r="A69" s="1" t="s">
        <v>67</v>
      </c>
      <c r="B69" s="1" t="s">
        <v>1079</v>
      </c>
      <c r="C69" s="1" t="s">
        <v>7</v>
      </c>
      <c r="D69">
        <v>674308</v>
      </c>
      <c r="E69">
        <v>7120</v>
      </c>
      <c r="F69">
        <v>74174</v>
      </c>
      <c r="G69">
        <v>15</v>
      </c>
      <c r="H69" s="4">
        <v>114.2</v>
      </c>
      <c r="I69" s="2">
        <v>0.86666666666666703</v>
      </c>
      <c r="J69">
        <v>0</v>
      </c>
      <c r="K69">
        <v>0</v>
      </c>
      <c r="L69">
        <v>68</v>
      </c>
      <c r="M69" s="1" t="s">
        <v>1413</v>
      </c>
      <c r="N69" s="1" t="s">
        <v>1019</v>
      </c>
    </row>
    <row r="70" spans="1:14" x14ac:dyDescent="0.25">
      <c r="A70" s="1" t="s">
        <v>68</v>
      </c>
      <c r="B70" s="1" t="s">
        <v>1080</v>
      </c>
      <c r="C70" s="1" t="s">
        <v>52</v>
      </c>
      <c r="D70">
        <v>441231</v>
      </c>
      <c r="E70">
        <v>72367</v>
      </c>
      <c r="F70">
        <v>48535</v>
      </c>
      <c r="G70">
        <v>15</v>
      </c>
      <c r="H70" s="4">
        <v>110.7</v>
      </c>
      <c r="I70" s="2">
        <v>0.73333333333333295</v>
      </c>
      <c r="J70">
        <v>10</v>
      </c>
      <c r="K70">
        <v>1</v>
      </c>
      <c r="L70">
        <v>79</v>
      </c>
      <c r="M70" s="1" t="s">
        <v>1014</v>
      </c>
      <c r="N70" s="1" t="s">
        <v>1017</v>
      </c>
    </row>
    <row r="71" spans="1:14" x14ac:dyDescent="0.25">
      <c r="A71" s="1" t="s">
        <v>69</v>
      </c>
      <c r="B71" s="1" t="s">
        <v>1081</v>
      </c>
      <c r="C71" s="1" t="s">
        <v>27</v>
      </c>
      <c r="D71">
        <v>398624</v>
      </c>
      <c r="E71">
        <v>54790</v>
      </c>
      <c r="F71">
        <v>43849</v>
      </c>
      <c r="G71">
        <v>15</v>
      </c>
      <c r="H71" s="4">
        <v>90.600000000000009</v>
      </c>
      <c r="I71" s="2">
        <v>0.8</v>
      </c>
      <c r="J71">
        <v>0</v>
      </c>
      <c r="K71">
        <v>0</v>
      </c>
      <c r="L71">
        <v>100</v>
      </c>
      <c r="M71" s="1" t="s">
        <v>1018</v>
      </c>
      <c r="N71" s="1" t="s">
        <v>1015</v>
      </c>
    </row>
    <row r="72" spans="1:14" x14ac:dyDescent="0.25">
      <c r="A72" s="1" t="s">
        <v>70</v>
      </c>
      <c r="B72" s="1" t="s">
        <v>1082</v>
      </c>
      <c r="C72" s="1" t="s">
        <v>9</v>
      </c>
      <c r="D72">
        <v>324540</v>
      </c>
      <c r="E72">
        <v>40222</v>
      </c>
      <c r="F72">
        <v>35699</v>
      </c>
      <c r="G72">
        <v>15</v>
      </c>
      <c r="H72" s="4">
        <v>98.500000000000028</v>
      </c>
      <c r="I72" s="2">
        <v>0.73333333333333295</v>
      </c>
      <c r="J72">
        <v>8</v>
      </c>
      <c r="K72">
        <v>1</v>
      </c>
      <c r="L72">
        <v>70</v>
      </c>
      <c r="M72" s="1" t="s">
        <v>1018</v>
      </c>
      <c r="N72" s="1" t="s">
        <v>1017</v>
      </c>
    </row>
    <row r="73" spans="1:14" x14ac:dyDescent="0.25">
      <c r="A73" s="1" t="s">
        <v>71</v>
      </c>
      <c r="B73" s="1" t="s">
        <v>1067</v>
      </c>
      <c r="C73" s="1" t="s">
        <v>9</v>
      </c>
      <c r="D73">
        <v>420990</v>
      </c>
      <c r="E73">
        <v>13373</v>
      </c>
      <c r="F73">
        <v>46309</v>
      </c>
      <c r="G73">
        <v>15</v>
      </c>
      <c r="H73" s="4">
        <v>104.60000000000001</v>
      </c>
      <c r="I73" s="2">
        <v>0.86666666666666703</v>
      </c>
      <c r="J73">
        <v>0</v>
      </c>
      <c r="K73">
        <v>0</v>
      </c>
      <c r="L73">
        <v>69</v>
      </c>
      <c r="M73" s="1" t="s">
        <v>1018</v>
      </c>
      <c r="N73" s="1" t="s">
        <v>1019</v>
      </c>
    </row>
    <row r="74" spans="1:14" x14ac:dyDescent="0.25">
      <c r="A74" s="1" t="s">
        <v>108</v>
      </c>
      <c r="B74" s="1" t="s">
        <v>1114</v>
      </c>
      <c r="C74" s="1" t="s">
        <v>23</v>
      </c>
      <c r="D74">
        <v>247675</v>
      </c>
      <c r="E74">
        <v>36933</v>
      </c>
      <c r="F74">
        <v>27244</v>
      </c>
      <c r="G74">
        <v>15</v>
      </c>
      <c r="H74" s="4">
        <v>109.2</v>
      </c>
      <c r="I74" s="2">
        <v>0.73333333333333295</v>
      </c>
      <c r="J74">
        <v>13</v>
      </c>
      <c r="K74">
        <v>1</v>
      </c>
      <c r="L74">
        <v>72</v>
      </c>
      <c r="M74" s="1" t="s">
        <v>1016</v>
      </c>
      <c r="N74" s="1" t="s">
        <v>1017</v>
      </c>
    </row>
    <row r="75" spans="1:14" x14ac:dyDescent="0.25">
      <c r="A75" s="1" t="s">
        <v>72</v>
      </c>
      <c r="B75" s="1" t="s">
        <v>1083</v>
      </c>
      <c r="C75" s="1" t="s">
        <v>37</v>
      </c>
      <c r="D75">
        <v>518663</v>
      </c>
      <c r="E75">
        <v>50477</v>
      </c>
      <c r="F75">
        <v>57053</v>
      </c>
      <c r="G75">
        <v>15</v>
      </c>
      <c r="H75" s="4">
        <v>97.7</v>
      </c>
      <c r="I75" s="2">
        <v>0.8</v>
      </c>
      <c r="J75">
        <v>0</v>
      </c>
      <c r="K75">
        <v>0</v>
      </c>
      <c r="L75">
        <v>80</v>
      </c>
      <c r="M75" s="1" t="s">
        <v>1413</v>
      </c>
      <c r="N75" s="1" t="s">
        <v>1020</v>
      </c>
    </row>
    <row r="76" spans="1:14" x14ac:dyDescent="0.25">
      <c r="A76" s="1" t="s">
        <v>73</v>
      </c>
      <c r="B76" s="1" t="s">
        <v>1084</v>
      </c>
      <c r="C76" s="1" t="s">
        <v>9</v>
      </c>
      <c r="D76">
        <v>267259</v>
      </c>
      <c r="E76">
        <v>53241</v>
      </c>
      <c r="G76">
        <v>15</v>
      </c>
      <c r="H76" s="4">
        <v>101.5</v>
      </c>
      <c r="I76" s="2">
        <v>0.86666666666666703</v>
      </c>
      <c r="J76">
        <v>0</v>
      </c>
      <c r="K76">
        <v>0</v>
      </c>
      <c r="L76">
        <v>89</v>
      </c>
      <c r="M76" s="1" t="s">
        <v>1413</v>
      </c>
      <c r="N76" s="1" t="s">
        <v>1020</v>
      </c>
    </row>
    <row r="77" spans="1:14" x14ac:dyDescent="0.25">
      <c r="A77" s="1" t="s">
        <v>74</v>
      </c>
      <c r="B77" s="1" t="s">
        <v>1085</v>
      </c>
      <c r="C77" s="1" t="s">
        <v>52</v>
      </c>
      <c r="D77">
        <v>420388</v>
      </c>
      <c r="E77">
        <v>55544</v>
      </c>
      <c r="F77">
        <v>46243</v>
      </c>
      <c r="G77">
        <v>14</v>
      </c>
      <c r="H77" s="4">
        <v>106.69999999999999</v>
      </c>
      <c r="I77" s="2">
        <v>0.78571428571428603</v>
      </c>
      <c r="J77">
        <v>9</v>
      </c>
      <c r="K77">
        <v>1</v>
      </c>
      <c r="L77">
        <v>65</v>
      </c>
      <c r="M77" s="1" t="s">
        <v>1016</v>
      </c>
      <c r="N77" s="1" t="s">
        <v>1019</v>
      </c>
    </row>
    <row r="78" spans="1:14" x14ac:dyDescent="0.25">
      <c r="A78" s="1" t="s">
        <v>150</v>
      </c>
      <c r="B78" s="1" t="s">
        <v>1149</v>
      </c>
      <c r="C78" s="1" t="s">
        <v>27</v>
      </c>
      <c r="D78">
        <v>703674</v>
      </c>
      <c r="E78">
        <v>67191</v>
      </c>
      <c r="F78">
        <v>77404</v>
      </c>
      <c r="G78">
        <v>15</v>
      </c>
      <c r="H78" s="4">
        <v>112.10000000000001</v>
      </c>
      <c r="I78" s="2">
        <v>0.8</v>
      </c>
      <c r="J78">
        <v>6</v>
      </c>
      <c r="K78">
        <v>1</v>
      </c>
      <c r="L78">
        <v>60</v>
      </c>
      <c r="M78" s="1" t="s">
        <v>1413</v>
      </c>
      <c r="N78" s="1" t="s">
        <v>1019</v>
      </c>
    </row>
    <row r="79" spans="1:14" x14ac:dyDescent="0.25">
      <c r="A79" s="1" t="s">
        <v>75</v>
      </c>
      <c r="B79" s="1" t="s">
        <v>1086</v>
      </c>
      <c r="C79" s="1" t="s">
        <v>3</v>
      </c>
      <c r="D79">
        <v>241690</v>
      </c>
      <c r="E79">
        <v>65041</v>
      </c>
      <c r="F79">
        <v>26586</v>
      </c>
      <c r="G79">
        <v>15</v>
      </c>
      <c r="H79" s="4">
        <v>111.8</v>
      </c>
      <c r="I79" s="2">
        <v>0.8</v>
      </c>
      <c r="J79">
        <v>0</v>
      </c>
      <c r="K79">
        <v>0</v>
      </c>
      <c r="L79">
        <v>93</v>
      </c>
      <c r="M79" s="1" t="s">
        <v>1018</v>
      </c>
      <c r="N79" s="1" t="s">
        <v>1015</v>
      </c>
    </row>
    <row r="80" spans="1:14" x14ac:dyDescent="0.25">
      <c r="A80" s="1" t="s">
        <v>76</v>
      </c>
      <c r="B80" s="1" t="s">
        <v>1087</v>
      </c>
      <c r="C80" s="1" t="s">
        <v>7</v>
      </c>
      <c r="D80">
        <v>225561</v>
      </c>
      <c r="E80">
        <v>39685</v>
      </c>
      <c r="F80">
        <v>24812</v>
      </c>
      <c r="G80">
        <v>15</v>
      </c>
      <c r="H80" s="4">
        <v>112.6</v>
      </c>
      <c r="I80" s="2">
        <v>0.86666666666666703</v>
      </c>
      <c r="J80">
        <v>0</v>
      </c>
      <c r="K80">
        <v>0</v>
      </c>
      <c r="L80">
        <v>100</v>
      </c>
      <c r="M80" s="1" t="s">
        <v>1016</v>
      </c>
      <c r="N80" s="1" t="s">
        <v>1015</v>
      </c>
    </row>
    <row r="81" spans="1:14" x14ac:dyDescent="0.25">
      <c r="A81" s="1" t="s">
        <v>77</v>
      </c>
      <c r="B81" s="1" t="s">
        <v>1064</v>
      </c>
      <c r="C81" s="1" t="s">
        <v>9</v>
      </c>
      <c r="D81">
        <v>241825</v>
      </c>
      <c r="E81">
        <v>45725</v>
      </c>
      <c r="F81">
        <v>26601</v>
      </c>
      <c r="G81">
        <v>15</v>
      </c>
      <c r="H81" s="4">
        <v>111.89999999999999</v>
      </c>
      <c r="I81" s="2">
        <v>0.93333333333333302</v>
      </c>
      <c r="J81">
        <v>0</v>
      </c>
      <c r="K81">
        <v>0</v>
      </c>
      <c r="L81">
        <v>63</v>
      </c>
      <c r="M81" s="1" t="s">
        <v>1413</v>
      </c>
      <c r="N81" s="1" t="s">
        <v>1019</v>
      </c>
    </row>
    <row r="82" spans="1:14" x14ac:dyDescent="0.25">
      <c r="A82" s="1" t="s">
        <v>78</v>
      </c>
      <c r="B82" s="1" t="s">
        <v>1088</v>
      </c>
      <c r="C82" s="1" t="s">
        <v>52</v>
      </c>
      <c r="D82">
        <v>730461</v>
      </c>
      <c r="E82">
        <v>77326</v>
      </c>
      <c r="F82">
        <v>80351</v>
      </c>
      <c r="G82">
        <v>15</v>
      </c>
      <c r="H82" s="4">
        <v>105.10000000000001</v>
      </c>
      <c r="I82" s="2">
        <v>0.8</v>
      </c>
      <c r="J82">
        <v>0</v>
      </c>
      <c r="K82">
        <v>0</v>
      </c>
      <c r="L82">
        <v>85</v>
      </c>
      <c r="M82" s="1" t="s">
        <v>1021</v>
      </c>
      <c r="N82" s="1" t="s">
        <v>1020</v>
      </c>
    </row>
    <row r="83" spans="1:14" x14ac:dyDescent="0.25">
      <c r="A83" s="1" t="s">
        <v>79</v>
      </c>
      <c r="B83" s="1" t="s">
        <v>1089</v>
      </c>
      <c r="C83" s="1" t="s">
        <v>52</v>
      </c>
      <c r="D83">
        <v>457380</v>
      </c>
      <c r="E83">
        <v>76715</v>
      </c>
      <c r="F83">
        <v>50312</v>
      </c>
      <c r="G83">
        <v>15</v>
      </c>
      <c r="H83" s="4">
        <v>87.3</v>
      </c>
      <c r="I83" s="2">
        <v>0.66666666666666696</v>
      </c>
      <c r="J83">
        <v>0</v>
      </c>
      <c r="K83">
        <v>0</v>
      </c>
      <c r="L83">
        <v>61</v>
      </c>
      <c r="M83" s="1" t="s">
        <v>1016</v>
      </c>
      <c r="N83" s="1" t="s">
        <v>1019</v>
      </c>
    </row>
    <row r="84" spans="1:14" x14ac:dyDescent="0.25">
      <c r="A84" s="1" t="s">
        <v>80</v>
      </c>
      <c r="B84" s="1" t="s">
        <v>1090</v>
      </c>
      <c r="C84" s="1" t="s">
        <v>3</v>
      </c>
      <c r="D84">
        <v>605941</v>
      </c>
      <c r="E84">
        <v>1269</v>
      </c>
      <c r="F84">
        <v>66654</v>
      </c>
      <c r="G84">
        <v>14</v>
      </c>
      <c r="H84" s="4">
        <v>80.900000000000006</v>
      </c>
      <c r="I84" s="2">
        <v>0.64285714285714302</v>
      </c>
      <c r="J84">
        <v>0</v>
      </c>
      <c r="K84">
        <v>0</v>
      </c>
      <c r="L84">
        <v>59</v>
      </c>
      <c r="M84" s="1" t="s">
        <v>1014</v>
      </c>
      <c r="N84" s="1" t="s">
        <v>1019</v>
      </c>
    </row>
    <row r="85" spans="1:14" x14ac:dyDescent="0.25">
      <c r="A85" s="1" t="s">
        <v>123</v>
      </c>
      <c r="B85" s="1" t="s">
        <v>1129</v>
      </c>
      <c r="C85" s="1" t="s">
        <v>27</v>
      </c>
      <c r="D85">
        <v>640409</v>
      </c>
      <c r="E85">
        <v>61147</v>
      </c>
      <c r="F85">
        <v>70445</v>
      </c>
      <c r="G85">
        <v>15</v>
      </c>
      <c r="H85" s="4">
        <v>109.7</v>
      </c>
      <c r="I85" s="2">
        <v>0.8</v>
      </c>
      <c r="J85">
        <v>10</v>
      </c>
      <c r="K85">
        <v>1</v>
      </c>
      <c r="L85">
        <v>87</v>
      </c>
      <c r="M85" s="1" t="s">
        <v>1014</v>
      </c>
      <c r="N85" s="1" t="s">
        <v>1020</v>
      </c>
    </row>
    <row r="86" spans="1:14" x14ac:dyDescent="0.25">
      <c r="A86" s="1" t="s">
        <v>82</v>
      </c>
      <c r="B86" s="1" t="s">
        <v>1092</v>
      </c>
      <c r="C86" s="1" t="s">
        <v>5</v>
      </c>
      <c r="D86">
        <v>382138</v>
      </c>
      <c r="E86">
        <v>77981</v>
      </c>
      <c r="F86">
        <v>42035</v>
      </c>
      <c r="G86">
        <v>15</v>
      </c>
      <c r="H86" s="4">
        <v>116.50000000000001</v>
      </c>
      <c r="I86" s="2">
        <v>0.8</v>
      </c>
      <c r="J86">
        <v>0</v>
      </c>
      <c r="K86">
        <v>0</v>
      </c>
      <c r="L86">
        <v>88</v>
      </c>
      <c r="M86" s="1" t="s">
        <v>1413</v>
      </c>
      <c r="N86" s="1" t="s">
        <v>1020</v>
      </c>
    </row>
    <row r="87" spans="1:14" x14ac:dyDescent="0.25">
      <c r="A87" s="1" t="s">
        <v>251</v>
      </c>
      <c r="B87" s="1" t="s">
        <v>1210</v>
      </c>
      <c r="C87" s="1" t="s">
        <v>12</v>
      </c>
      <c r="D87">
        <v>589327</v>
      </c>
      <c r="E87">
        <v>32441</v>
      </c>
      <c r="F87">
        <v>64826</v>
      </c>
      <c r="G87">
        <v>15</v>
      </c>
      <c r="H87" s="4">
        <v>102.30000000000001</v>
      </c>
      <c r="I87" s="2">
        <v>0.66666666666666696</v>
      </c>
      <c r="J87">
        <v>14</v>
      </c>
      <c r="K87">
        <v>1</v>
      </c>
      <c r="L87">
        <v>60</v>
      </c>
      <c r="M87" s="1" t="s">
        <v>1018</v>
      </c>
      <c r="N87" s="1" t="s">
        <v>1019</v>
      </c>
    </row>
    <row r="88" spans="1:14" x14ac:dyDescent="0.25">
      <c r="A88" s="1" t="s">
        <v>83</v>
      </c>
      <c r="B88" s="1" t="s">
        <v>1093</v>
      </c>
      <c r="C88" s="1" t="s">
        <v>5</v>
      </c>
      <c r="D88">
        <v>332979</v>
      </c>
      <c r="E88">
        <v>72671</v>
      </c>
      <c r="F88">
        <v>36628</v>
      </c>
      <c r="G88">
        <v>15</v>
      </c>
      <c r="H88" s="4">
        <v>111.3</v>
      </c>
      <c r="I88" s="2">
        <v>0.86666666666666703</v>
      </c>
      <c r="J88">
        <v>16</v>
      </c>
      <c r="K88">
        <v>3</v>
      </c>
      <c r="L88">
        <v>73</v>
      </c>
      <c r="M88" s="1" t="s">
        <v>1016</v>
      </c>
      <c r="N88" s="1" t="s">
        <v>1017</v>
      </c>
    </row>
    <row r="89" spans="1:14" x14ac:dyDescent="0.25">
      <c r="A89" s="1" t="s">
        <v>84</v>
      </c>
      <c r="B89" s="1" t="s">
        <v>1094</v>
      </c>
      <c r="C89" s="1" t="s">
        <v>12</v>
      </c>
      <c r="D89">
        <v>228813</v>
      </c>
      <c r="E89">
        <v>61243</v>
      </c>
      <c r="F89">
        <v>25169</v>
      </c>
      <c r="G89">
        <v>15</v>
      </c>
      <c r="H89" s="4">
        <v>94.2</v>
      </c>
      <c r="I89" s="2">
        <v>0.73333333333333295</v>
      </c>
      <c r="J89">
        <v>0</v>
      </c>
      <c r="K89">
        <v>0</v>
      </c>
      <c r="L89">
        <v>95</v>
      </c>
      <c r="M89" s="1" t="s">
        <v>1014</v>
      </c>
      <c r="N89" s="1" t="s">
        <v>1015</v>
      </c>
    </row>
    <row r="90" spans="1:14" x14ac:dyDescent="0.25">
      <c r="A90" s="1" t="s">
        <v>315</v>
      </c>
      <c r="B90" s="1" t="s">
        <v>1246</v>
      </c>
      <c r="C90" s="1" t="s">
        <v>23</v>
      </c>
      <c r="D90">
        <v>288889</v>
      </c>
      <c r="E90">
        <v>53753</v>
      </c>
      <c r="F90">
        <v>31778</v>
      </c>
      <c r="G90">
        <v>15</v>
      </c>
      <c r="H90" s="4">
        <v>106.50000000000001</v>
      </c>
      <c r="I90" s="2">
        <v>0.86666666666666703</v>
      </c>
      <c r="J90">
        <v>8</v>
      </c>
      <c r="K90">
        <v>1</v>
      </c>
      <c r="L90">
        <v>79</v>
      </c>
      <c r="M90" s="1" t="s">
        <v>1413</v>
      </c>
      <c r="N90" s="1" t="s">
        <v>1017</v>
      </c>
    </row>
    <row r="91" spans="1:14" x14ac:dyDescent="0.25">
      <c r="A91" s="1" t="s">
        <v>85</v>
      </c>
      <c r="B91" s="1" t="s">
        <v>1095</v>
      </c>
      <c r="C91" s="1" t="s">
        <v>1037</v>
      </c>
      <c r="D91">
        <v>616250</v>
      </c>
      <c r="E91">
        <v>80069</v>
      </c>
      <c r="F91">
        <v>67788</v>
      </c>
      <c r="G91">
        <v>15</v>
      </c>
      <c r="H91" s="4">
        <v>96.1</v>
      </c>
      <c r="I91" s="2">
        <v>0.6</v>
      </c>
      <c r="J91">
        <v>0</v>
      </c>
      <c r="K91">
        <v>0</v>
      </c>
      <c r="L91">
        <v>94</v>
      </c>
      <c r="M91" s="1" t="s">
        <v>1413</v>
      </c>
      <c r="N91" s="1" t="s">
        <v>1015</v>
      </c>
    </row>
    <row r="92" spans="1:14" x14ac:dyDescent="0.25">
      <c r="A92" s="1" t="s">
        <v>86</v>
      </c>
      <c r="B92" s="1" t="s">
        <v>1096</v>
      </c>
      <c r="C92" s="1" t="s">
        <v>5</v>
      </c>
      <c r="D92">
        <v>715645</v>
      </c>
      <c r="E92">
        <v>89531</v>
      </c>
      <c r="F92">
        <v>78721</v>
      </c>
      <c r="G92">
        <v>15</v>
      </c>
      <c r="H92" s="4">
        <v>105.9</v>
      </c>
      <c r="I92" s="2">
        <v>0.86666666666666703</v>
      </c>
      <c r="J92">
        <v>7</v>
      </c>
      <c r="K92">
        <v>1</v>
      </c>
      <c r="L92">
        <v>82</v>
      </c>
      <c r="M92" s="1" t="s">
        <v>1021</v>
      </c>
      <c r="N92" s="1" t="s">
        <v>1020</v>
      </c>
    </row>
    <row r="93" spans="1:14" x14ac:dyDescent="0.25">
      <c r="A93" s="1" t="s">
        <v>87</v>
      </c>
      <c r="B93" s="1" t="s">
        <v>1097</v>
      </c>
      <c r="C93" s="1" t="s">
        <v>7</v>
      </c>
      <c r="D93">
        <v>632394</v>
      </c>
      <c r="E93">
        <v>4538</v>
      </c>
      <c r="G93">
        <v>15</v>
      </c>
      <c r="H93" s="4">
        <v>105.8</v>
      </c>
      <c r="I93" s="2">
        <v>0.73333333333333295</v>
      </c>
      <c r="J93">
        <v>2</v>
      </c>
      <c r="K93">
        <v>1</v>
      </c>
      <c r="L93">
        <v>80</v>
      </c>
      <c r="M93" s="1" t="s">
        <v>1016</v>
      </c>
      <c r="N93" s="1" t="s">
        <v>1020</v>
      </c>
    </row>
    <row r="94" spans="1:14" x14ac:dyDescent="0.25">
      <c r="A94" s="1" t="s">
        <v>88</v>
      </c>
      <c r="B94" s="1" t="s">
        <v>1038</v>
      </c>
      <c r="C94" s="1" t="s">
        <v>37</v>
      </c>
      <c r="D94">
        <v>744341</v>
      </c>
      <c r="E94">
        <v>51479</v>
      </c>
      <c r="F94">
        <v>81878</v>
      </c>
      <c r="G94">
        <v>15</v>
      </c>
      <c r="H94" s="4">
        <v>103.3</v>
      </c>
      <c r="I94" s="2">
        <v>0.8</v>
      </c>
      <c r="J94">
        <v>0</v>
      </c>
      <c r="K94">
        <v>0</v>
      </c>
      <c r="L94">
        <v>100</v>
      </c>
      <c r="M94" s="1" t="s">
        <v>1021</v>
      </c>
      <c r="N94" s="1" t="s">
        <v>1015</v>
      </c>
    </row>
    <row r="95" spans="1:14" x14ac:dyDescent="0.25">
      <c r="A95" s="1" t="s">
        <v>331</v>
      </c>
      <c r="B95" s="1" t="s">
        <v>1254</v>
      </c>
      <c r="C95" s="1" t="s">
        <v>1037</v>
      </c>
      <c r="D95">
        <v>241096</v>
      </c>
      <c r="E95">
        <v>47979</v>
      </c>
      <c r="F95">
        <v>26521</v>
      </c>
      <c r="G95">
        <v>15</v>
      </c>
      <c r="H95" s="4">
        <v>114.10000000000001</v>
      </c>
      <c r="I95" s="2">
        <v>0.66666666666666696</v>
      </c>
      <c r="J95">
        <v>11</v>
      </c>
      <c r="K95">
        <v>1</v>
      </c>
      <c r="L95">
        <v>75</v>
      </c>
      <c r="M95" s="1" t="s">
        <v>1413</v>
      </c>
      <c r="N95" s="1" t="s">
        <v>1017</v>
      </c>
    </row>
    <row r="96" spans="1:14" x14ac:dyDescent="0.25">
      <c r="A96" s="1" t="s">
        <v>89</v>
      </c>
      <c r="B96" s="1" t="s">
        <v>1098</v>
      </c>
      <c r="C96" s="1" t="s">
        <v>23</v>
      </c>
      <c r="D96">
        <v>515495</v>
      </c>
      <c r="E96">
        <v>31240</v>
      </c>
      <c r="F96">
        <v>56704</v>
      </c>
      <c r="G96">
        <v>15</v>
      </c>
      <c r="H96" s="4">
        <v>97.000000000000014</v>
      </c>
      <c r="I96" s="2">
        <v>0.8</v>
      </c>
      <c r="J96">
        <v>0</v>
      </c>
      <c r="K96">
        <v>0</v>
      </c>
      <c r="L96">
        <v>67</v>
      </c>
      <c r="M96" s="1" t="s">
        <v>1014</v>
      </c>
      <c r="N96" s="1" t="s">
        <v>1019</v>
      </c>
    </row>
    <row r="97" spans="1:14" x14ac:dyDescent="0.25">
      <c r="A97" s="1" t="s">
        <v>90</v>
      </c>
      <c r="B97" s="1" t="s">
        <v>1099</v>
      </c>
      <c r="C97" s="1" t="s">
        <v>5</v>
      </c>
      <c r="D97">
        <v>502876</v>
      </c>
      <c r="E97">
        <v>83386</v>
      </c>
      <c r="F97">
        <v>55316</v>
      </c>
      <c r="G97">
        <v>15</v>
      </c>
      <c r="H97" s="4">
        <v>78.7</v>
      </c>
      <c r="I97" s="2">
        <v>0.66666666666666696</v>
      </c>
      <c r="J97">
        <v>0</v>
      </c>
      <c r="K97">
        <v>0</v>
      </c>
      <c r="L97">
        <v>57</v>
      </c>
      <c r="M97" s="1" t="s">
        <v>1018</v>
      </c>
      <c r="N97" s="1" t="s">
        <v>1019</v>
      </c>
    </row>
    <row r="98" spans="1:14" x14ac:dyDescent="0.25">
      <c r="A98" s="1" t="s">
        <v>91</v>
      </c>
      <c r="B98" s="1" t="s">
        <v>1053</v>
      </c>
      <c r="C98" s="1" t="s">
        <v>7</v>
      </c>
      <c r="D98">
        <v>276449</v>
      </c>
      <c r="E98">
        <v>83853</v>
      </c>
      <c r="F98">
        <v>30409</v>
      </c>
      <c r="G98">
        <v>14</v>
      </c>
      <c r="H98" s="4">
        <v>96.399999999999991</v>
      </c>
      <c r="I98" s="2">
        <v>0.78571428571428603</v>
      </c>
      <c r="J98">
        <v>0</v>
      </c>
      <c r="K98">
        <v>0</v>
      </c>
      <c r="L98">
        <v>60</v>
      </c>
      <c r="M98" s="1" t="s">
        <v>1021</v>
      </c>
      <c r="N98" s="1" t="s">
        <v>1019</v>
      </c>
    </row>
    <row r="99" spans="1:14" x14ac:dyDescent="0.25">
      <c r="A99" s="1" t="s">
        <v>92</v>
      </c>
      <c r="B99" s="1" t="s">
        <v>1100</v>
      </c>
      <c r="C99" s="1" t="s">
        <v>1037</v>
      </c>
      <c r="D99">
        <v>567685</v>
      </c>
      <c r="E99">
        <v>6666</v>
      </c>
      <c r="F99">
        <v>62445</v>
      </c>
      <c r="G99">
        <v>15</v>
      </c>
      <c r="H99" s="4">
        <v>103</v>
      </c>
      <c r="I99" s="2">
        <v>0.6</v>
      </c>
      <c r="J99">
        <v>14</v>
      </c>
      <c r="K99">
        <v>1</v>
      </c>
      <c r="L99">
        <v>60</v>
      </c>
      <c r="M99" s="1" t="s">
        <v>1014</v>
      </c>
      <c r="N99" s="1" t="s">
        <v>1019</v>
      </c>
    </row>
    <row r="100" spans="1:14" x14ac:dyDescent="0.25">
      <c r="A100" s="1" t="s">
        <v>93</v>
      </c>
      <c r="B100" s="1" t="s">
        <v>1101</v>
      </c>
      <c r="C100" s="1" t="s">
        <v>9</v>
      </c>
      <c r="D100">
        <v>837284</v>
      </c>
      <c r="E100">
        <v>52541</v>
      </c>
      <c r="F100">
        <v>92101</v>
      </c>
      <c r="G100">
        <v>15</v>
      </c>
      <c r="H100" s="4">
        <v>95.100000000000009</v>
      </c>
      <c r="I100" s="2">
        <v>0.6</v>
      </c>
      <c r="J100">
        <v>10</v>
      </c>
      <c r="K100">
        <v>2</v>
      </c>
      <c r="L100">
        <v>95</v>
      </c>
      <c r="M100" s="1" t="s">
        <v>1014</v>
      </c>
      <c r="N100" s="1" t="s">
        <v>1015</v>
      </c>
    </row>
    <row r="101" spans="1:14" x14ac:dyDescent="0.25">
      <c r="A101" s="1" t="s">
        <v>277</v>
      </c>
      <c r="B101" s="1" t="s">
        <v>1226</v>
      </c>
      <c r="C101" s="1" t="s">
        <v>12</v>
      </c>
      <c r="D101">
        <v>584615</v>
      </c>
      <c r="E101">
        <v>86436</v>
      </c>
      <c r="F101">
        <v>64308</v>
      </c>
      <c r="G101">
        <v>15</v>
      </c>
      <c r="H101" s="4">
        <v>121.9</v>
      </c>
      <c r="I101" s="2">
        <v>0.73333333333333295</v>
      </c>
      <c r="J101">
        <v>9</v>
      </c>
      <c r="K101">
        <v>1</v>
      </c>
      <c r="L101">
        <v>71</v>
      </c>
      <c r="M101" s="1" t="s">
        <v>1018</v>
      </c>
      <c r="N101" s="1" t="s">
        <v>1017</v>
      </c>
    </row>
    <row r="102" spans="1:14" x14ac:dyDescent="0.25">
      <c r="A102" s="1" t="s">
        <v>94</v>
      </c>
      <c r="B102" s="1" t="s">
        <v>1053</v>
      </c>
      <c r="C102" s="1" t="s">
        <v>23</v>
      </c>
      <c r="D102">
        <v>600307</v>
      </c>
      <c r="E102">
        <v>49173</v>
      </c>
      <c r="F102">
        <v>66034</v>
      </c>
      <c r="G102">
        <v>15</v>
      </c>
      <c r="H102" s="4">
        <v>111.10000000000001</v>
      </c>
      <c r="I102" s="2">
        <v>0.66666666666666696</v>
      </c>
      <c r="J102">
        <v>0</v>
      </c>
      <c r="K102">
        <v>0</v>
      </c>
      <c r="L102">
        <v>87</v>
      </c>
      <c r="M102" s="1" t="s">
        <v>1021</v>
      </c>
      <c r="N102" s="1" t="s">
        <v>1020</v>
      </c>
    </row>
    <row r="103" spans="1:14" x14ac:dyDescent="0.25">
      <c r="A103" s="1" t="s">
        <v>95</v>
      </c>
      <c r="B103" s="1" t="s">
        <v>1102</v>
      </c>
      <c r="C103" s="1" t="s">
        <v>9</v>
      </c>
      <c r="D103">
        <v>630629</v>
      </c>
      <c r="E103">
        <v>34518</v>
      </c>
      <c r="F103">
        <v>69369</v>
      </c>
      <c r="G103">
        <v>15</v>
      </c>
      <c r="H103" s="4">
        <v>103.9</v>
      </c>
      <c r="I103" s="2">
        <v>0.73333333333333295</v>
      </c>
      <c r="J103">
        <v>14</v>
      </c>
      <c r="K103">
        <v>2</v>
      </c>
      <c r="L103">
        <v>96</v>
      </c>
      <c r="M103" s="1" t="s">
        <v>1014</v>
      </c>
      <c r="N103" s="1" t="s">
        <v>1015</v>
      </c>
    </row>
    <row r="104" spans="1:14" x14ac:dyDescent="0.25">
      <c r="A104" s="1" t="s">
        <v>188</v>
      </c>
      <c r="B104" s="1" t="s">
        <v>1169</v>
      </c>
      <c r="C104" s="1" t="s">
        <v>1037</v>
      </c>
      <c r="D104">
        <v>776819</v>
      </c>
      <c r="E104">
        <v>39564</v>
      </c>
      <c r="F104">
        <v>85450</v>
      </c>
      <c r="G104">
        <v>15</v>
      </c>
      <c r="H104" s="4">
        <v>63.3</v>
      </c>
      <c r="I104" s="2">
        <v>0.53333333333333299</v>
      </c>
      <c r="J104">
        <v>15</v>
      </c>
      <c r="K104">
        <v>2</v>
      </c>
      <c r="L104">
        <v>68</v>
      </c>
      <c r="M104" s="1" t="s">
        <v>1413</v>
      </c>
      <c r="N104" s="1" t="s">
        <v>1019</v>
      </c>
    </row>
    <row r="105" spans="1:14" x14ac:dyDescent="0.25">
      <c r="A105" s="1" t="s">
        <v>96</v>
      </c>
      <c r="B105" s="1" t="s">
        <v>1103</v>
      </c>
      <c r="C105" s="1" t="s">
        <v>7</v>
      </c>
      <c r="D105">
        <v>554916</v>
      </c>
      <c r="E105">
        <v>66801</v>
      </c>
      <c r="F105">
        <v>61041</v>
      </c>
      <c r="G105">
        <v>15</v>
      </c>
      <c r="H105" s="4">
        <v>103</v>
      </c>
      <c r="I105" s="2">
        <v>0.73333333333333295</v>
      </c>
      <c r="J105">
        <v>6</v>
      </c>
      <c r="K105">
        <v>1</v>
      </c>
      <c r="L105">
        <v>96</v>
      </c>
      <c r="M105" s="1" t="s">
        <v>1413</v>
      </c>
      <c r="N105" s="1" t="s">
        <v>1015</v>
      </c>
    </row>
    <row r="106" spans="1:14" x14ac:dyDescent="0.25">
      <c r="A106" s="1" t="s">
        <v>97</v>
      </c>
      <c r="B106" s="1" t="s">
        <v>1104</v>
      </c>
      <c r="C106" s="1" t="s">
        <v>52</v>
      </c>
      <c r="D106">
        <v>620056</v>
      </c>
      <c r="E106">
        <v>83721</v>
      </c>
      <c r="F106">
        <v>68206</v>
      </c>
      <c r="G106">
        <v>15</v>
      </c>
      <c r="H106" s="4">
        <v>85.699999999999989</v>
      </c>
      <c r="I106" s="2">
        <v>0.73333333333333295</v>
      </c>
      <c r="J106">
        <v>0</v>
      </c>
      <c r="K106">
        <v>0</v>
      </c>
      <c r="L106">
        <v>96</v>
      </c>
      <c r="M106" s="1" t="s">
        <v>1018</v>
      </c>
      <c r="N106" s="1" t="s">
        <v>1015</v>
      </c>
    </row>
    <row r="107" spans="1:14" x14ac:dyDescent="0.25">
      <c r="A107" s="1" t="s">
        <v>98</v>
      </c>
      <c r="B107" s="1" t="s">
        <v>1105</v>
      </c>
      <c r="C107" s="1" t="s">
        <v>37</v>
      </c>
      <c r="D107">
        <v>839156</v>
      </c>
      <c r="E107">
        <v>33423</v>
      </c>
      <c r="F107">
        <v>92307</v>
      </c>
      <c r="G107">
        <v>15</v>
      </c>
      <c r="H107" s="4">
        <v>102.2</v>
      </c>
      <c r="I107" s="2">
        <v>0.6</v>
      </c>
      <c r="J107">
        <v>0</v>
      </c>
      <c r="K107">
        <v>0</v>
      </c>
      <c r="L107">
        <v>90</v>
      </c>
      <c r="M107" s="1" t="s">
        <v>1016</v>
      </c>
      <c r="N107" s="1" t="s">
        <v>1015</v>
      </c>
    </row>
    <row r="108" spans="1:14" x14ac:dyDescent="0.25">
      <c r="A108" s="1" t="s">
        <v>140</v>
      </c>
      <c r="B108" s="1" t="s">
        <v>1141</v>
      </c>
      <c r="C108" s="1" t="s">
        <v>1117</v>
      </c>
      <c r="D108">
        <v>747394</v>
      </c>
      <c r="E108">
        <v>25407</v>
      </c>
      <c r="F108">
        <v>82213</v>
      </c>
      <c r="G108">
        <v>15</v>
      </c>
      <c r="H108" s="4">
        <v>104.8</v>
      </c>
      <c r="I108" s="2">
        <v>0.86666666666666703</v>
      </c>
      <c r="J108">
        <v>13</v>
      </c>
      <c r="K108">
        <v>1</v>
      </c>
      <c r="L108">
        <v>55</v>
      </c>
      <c r="M108" s="1" t="s">
        <v>1413</v>
      </c>
      <c r="N108" s="1" t="s">
        <v>1019</v>
      </c>
    </row>
    <row r="109" spans="1:14" x14ac:dyDescent="0.25">
      <c r="A109" s="1" t="s">
        <v>99</v>
      </c>
      <c r="B109" s="1" t="s">
        <v>1081</v>
      </c>
      <c r="C109" s="1" t="s">
        <v>9</v>
      </c>
      <c r="D109">
        <v>783469</v>
      </c>
      <c r="E109">
        <v>13342</v>
      </c>
      <c r="F109">
        <v>86182</v>
      </c>
      <c r="G109">
        <v>15</v>
      </c>
      <c r="H109" s="4">
        <v>103.10000000000001</v>
      </c>
      <c r="I109" s="2">
        <v>0.73333333333333295</v>
      </c>
      <c r="J109">
        <v>0</v>
      </c>
      <c r="K109">
        <v>0</v>
      </c>
      <c r="L109">
        <v>77</v>
      </c>
      <c r="M109" s="1" t="s">
        <v>1018</v>
      </c>
      <c r="N109" s="1" t="s">
        <v>1017</v>
      </c>
    </row>
    <row r="110" spans="1:14" x14ac:dyDescent="0.25">
      <c r="A110" s="1" t="s">
        <v>100</v>
      </c>
      <c r="B110" s="1" t="s">
        <v>1106</v>
      </c>
      <c r="C110" s="1" t="s">
        <v>7</v>
      </c>
      <c r="D110">
        <v>744538</v>
      </c>
      <c r="E110">
        <v>39628</v>
      </c>
      <c r="F110">
        <v>81899</v>
      </c>
      <c r="G110">
        <v>15</v>
      </c>
      <c r="H110" s="4">
        <v>107.7</v>
      </c>
      <c r="I110" s="2">
        <v>0.6</v>
      </c>
      <c r="J110">
        <v>11</v>
      </c>
      <c r="K110">
        <v>1</v>
      </c>
      <c r="L110">
        <v>87</v>
      </c>
      <c r="M110" s="1" t="s">
        <v>1413</v>
      </c>
      <c r="N110" s="1" t="s">
        <v>1020</v>
      </c>
    </row>
    <row r="111" spans="1:14" x14ac:dyDescent="0.25">
      <c r="A111" s="1" t="s">
        <v>101</v>
      </c>
      <c r="B111" s="1" t="s">
        <v>1107</v>
      </c>
      <c r="C111" s="1" t="s">
        <v>1037</v>
      </c>
      <c r="D111">
        <v>550242</v>
      </c>
      <c r="E111">
        <v>88029</v>
      </c>
      <c r="F111">
        <v>60527</v>
      </c>
      <c r="G111">
        <v>15</v>
      </c>
      <c r="H111" s="4">
        <v>111.1</v>
      </c>
      <c r="I111" s="2">
        <v>0.86666666666666703</v>
      </c>
      <c r="J111">
        <v>17</v>
      </c>
      <c r="K111">
        <v>2</v>
      </c>
      <c r="L111">
        <v>70</v>
      </c>
      <c r="M111" s="1" t="s">
        <v>1018</v>
      </c>
      <c r="N111" s="1" t="s">
        <v>1017</v>
      </c>
    </row>
    <row r="112" spans="1:14" x14ac:dyDescent="0.25">
      <c r="A112" s="1" t="s">
        <v>102</v>
      </c>
      <c r="B112" s="1" t="s">
        <v>1108</v>
      </c>
      <c r="C112" s="1" t="s">
        <v>37</v>
      </c>
      <c r="D112">
        <v>700925</v>
      </c>
      <c r="E112">
        <v>1255</v>
      </c>
      <c r="F112">
        <v>77102</v>
      </c>
      <c r="G112">
        <v>15</v>
      </c>
      <c r="H112" s="4">
        <v>105.9</v>
      </c>
      <c r="I112" s="2">
        <v>0.8</v>
      </c>
      <c r="J112">
        <v>14</v>
      </c>
      <c r="K112">
        <v>1</v>
      </c>
      <c r="L112">
        <v>73</v>
      </c>
      <c r="M112" s="1" t="s">
        <v>1016</v>
      </c>
      <c r="N112" s="1" t="s">
        <v>1017</v>
      </c>
    </row>
    <row r="113" spans="1:14" x14ac:dyDescent="0.25">
      <c r="A113" s="1" t="s">
        <v>103</v>
      </c>
      <c r="B113" s="1" t="s">
        <v>1109</v>
      </c>
      <c r="C113" s="1" t="s">
        <v>37</v>
      </c>
      <c r="D113">
        <v>523202</v>
      </c>
      <c r="E113">
        <v>67436</v>
      </c>
      <c r="F113">
        <v>57552</v>
      </c>
      <c r="G113">
        <v>15</v>
      </c>
      <c r="H113" s="4">
        <v>90.1</v>
      </c>
      <c r="I113" s="2">
        <v>0.73333333333333295</v>
      </c>
      <c r="J113">
        <v>0</v>
      </c>
      <c r="K113">
        <v>0</v>
      </c>
      <c r="L113">
        <v>99</v>
      </c>
      <c r="M113" s="1" t="s">
        <v>1413</v>
      </c>
      <c r="N113" s="1" t="s">
        <v>1015</v>
      </c>
    </row>
    <row r="114" spans="1:14" x14ac:dyDescent="0.25">
      <c r="A114" s="1" t="s">
        <v>234</v>
      </c>
      <c r="B114" s="1" t="s">
        <v>1150</v>
      </c>
      <c r="C114" s="1" t="s">
        <v>9</v>
      </c>
      <c r="D114">
        <v>551490</v>
      </c>
      <c r="E114">
        <v>5867</v>
      </c>
      <c r="F114">
        <v>60664</v>
      </c>
      <c r="G114">
        <v>14</v>
      </c>
      <c r="H114" s="4">
        <v>117.10000000000001</v>
      </c>
      <c r="I114" s="2">
        <v>0.85714285714285698</v>
      </c>
      <c r="J114">
        <v>13</v>
      </c>
      <c r="K114">
        <v>1</v>
      </c>
      <c r="L114">
        <v>64</v>
      </c>
      <c r="M114" s="1" t="s">
        <v>1018</v>
      </c>
      <c r="N114" s="1" t="s">
        <v>1019</v>
      </c>
    </row>
    <row r="115" spans="1:14" x14ac:dyDescent="0.25">
      <c r="A115" s="1" t="s">
        <v>104</v>
      </c>
      <c r="B115" s="1" t="s">
        <v>1110</v>
      </c>
      <c r="C115" s="1" t="s">
        <v>7</v>
      </c>
      <c r="D115">
        <v>660244</v>
      </c>
      <c r="E115">
        <v>73264</v>
      </c>
      <c r="F115">
        <v>72627</v>
      </c>
      <c r="G115">
        <v>15</v>
      </c>
      <c r="H115" s="4">
        <v>111.4</v>
      </c>
      <c r="I115" s="2">
        <v>0.8</v>
      </c>
      <c r="J115">
        <v>0</v>
      </c>
      <c r="K115">
        <v>0</v>
      </c>
      <c r="L115">
        <v>90</v>
      </c>
      <c r="M115" s="1" t="s">
        <v>1413</v>
      </c>
      <c r="N115" s="1" t="s">
        <v>1015</v>
      </c>
    </row>
    <row r="116" spans="1:14" x14ac:dyDescent="0.25">
      <c r="A116" s="1" t="s">
        <v>105</v>
      </c>
      <c r="B116" s="1" t="s">
        <v>1111</v>
      </c>
      <c r="C116" s="1" t="s">
        <v>23</v>
      </c>
      <c r="D116">
        <v>742268</v>
      </c>
      <c r="E116">
        <v>87184</v>
      </c>
      <c r="F116">
        <v>81649</v>
      </c>
      <c r="G116">
        <v>15</v>
      </c>
      <c r="H116" s="4">
        <v>76.40000000000002</v>
      </c>
      <c r="I116" s="2">
        <v>0.6</v>
      </c>
      <c r="J116">
        <v>0</v>
      </c>
      <c r="K116">
        <v>0</v>
      </c>
      <c r="L116">
        <v>57</v>
      </c>
      <c r="M116" s="1" t="s">
        <v>1014</v>
      </c>
      <c r="N116" s="1" t="s">
        <v>1019</v>
      </c>
    </row>
    <row r="117" spans="1:14" x14ac:dyDescent="0.25">
      <c r="A117" s="1" t="s">
        <v>106</v>
      </c>
      <c r="B117" s="1" t="s">
        <v>1112</v>
      </c>
      <c r="C117" s="1" t="s">
        <v>7</v>
      </c>
      <c r="D117">
        <v>484966</v>
      </c>
      <c r="E117">
        <v>52661</v>
      </c>
      <c r="G117">
        <v>15</v>
      </c>
      <c r="H117" s="4">
        <v>104.9</v>
      </c>
      <c r="I117" s="2">
        <v>0.73333333333333295</v>
      </c>
      <c r="J117">
        <v>6</v>
      </c>
      <c r="K117">
        <v>1</v>
      </c>
      <c r="L117">
        <v>98</v>
      </c>
      <c r="M117" s="1" t="s">
        <v>1016</v>
      </c>
      <c r="N117" s="1" t="s">
        <v>1015</v>
      </c>
    </row>
    <row r="118" spans="1:14" x14ac:dyDescent="0.25">
      <c r="A118" s="1" t="s">
        <v>107</v>
      </c>
      <c r="B118" s="1" t="s">
        <v>1113</v>
      </c>
      <c r="C118" s="1" t="s">
        <v>23</v>
      </c>
      <c r="D118">
        <v>226715</v>
      </c>
      <c r="E118">
        <v>82711</v>
      </c>
      <c r="F118">
        <v>24939</v>
      </c>
      <c r="G118">
        <v>15</v>
      </c>
      <c r="H118" s="4">
        <v>104.6</v>
      </c>
      <c r="I118" s="2">
        <v>0.73333333333333295</v>
      </c>
      <c r="J118">
        <v>33</v>
      </c>
      <c r="K118">
        <v>3</v>
      </c>
      <c r="L118">
        <v>65</v>
      </c>
      <c r="M118" s="1" t="s">
        <v>1413</v>
      </c>
      <c r="N118" s="1" t="s">
        <v>1019</v>
      </c>
    </row>
    <row r="119" spans="1:14" x14ac:dyDescent="0.25">
      <c r="A119" s="1" t="s">
        <v>144</v>
      </c>
      <c r="B119" s="1" t="s">
        <v>1144</v>
      </c>
      <c r="C119" s="1" t="s">
        <v>9</v>
      </c>
      <c r="D119">
        <v>394386</v>
      </c>
      <c r="E119">
        <v>11118</v>
      </c>
      <c r="F119">
        <v>43382</v>
      </c>
      <c r="G119">
        <v>15</v>
      </c>
      <c r="H119" s="4">
        <v>114.10000000000001</v>
      </c>
      <c r="I119" s="2">
        <v>0.8</v>
      </c>
      <c r="J119">
        <v>22</v>
      </c>
      <c r="K119">
        <v>2</v>
      </c>
      <c r="L119">
        <v>58</v>
      </c>
      <c r="M119" s="1" t="s">
        <v>1016</v>
      </c>
      <c r="N119" s="1" t="s">
        <v>1019</v>
      </c>
    </row>
    <row r="120" spans="1:14" x14ac:dyDescent="0.25">
      <c r="A120" s="1" t="s">
        <v>109</v>
      </c>
      <c r="B120" s="1" t="s">
        <v>1115</v>
      </c>
      <c r="C120" s="1" t="s">
        <v>52</v>
      </c>
      <c r="D120">
        <v>395884</v>
      </c>
      <c r="E120">
        <v>43823</v>
      </c>
      <c r="F120">
        <v>43547</v>
      </c>
      <c r="G120">
        <v>15</v>
      </c>
      <c r="H120" s="4">
        <v>78.5</v>
      </c>
      <c r="I120" s="2">
        <v>0.66666666666666696</v>
      </c>
      <c r="J120">
        <v>0</v>
      </c>
      <c r="K120">
        <v>0</v>
      </c>
      <c r="L120">
        <v>69</v>
      </c>
      <c r="M120" s="1" t="s">
        <v>1014</v>
      </c>
      <c r="N120" s="1" t="s">
        <v>1019</v>
      </c>
    </row>
    <row r="121" spans="1:14" x14ac:dyDescent="0.25">
      <c r="A121" s="1" t="s">
        <v>110</v>
      </c>
      <c r="B121" s="1" t="s">
        <v>1116</v>
      </c>
      <c r="C121" s="1" t="s">
        <v>1117</v>
      </c>
      <c r="D121">
        <v>447526</v>
      </c>
      <c r="E121">
        <v>55785</v>
      </c>
      <c r="G121">
        <v>15</v>
      </c>
      <c r="H121" s="4">
        <v>92.499999999999986</v>
      </c>
      <c r="I121" s="2">
        <v>0.73333333333333295</v>
      </c>
      <c r="J121">
        <v>23</v>
      </c>
      <c r="K121">
        <v>2</v>
      </c>
      <c r="L121">
        <v>81</v>
      </c>
      <c r="M121" s="1" t="s">
        <v>1413</v>
      </c>
      <c r="N121" s="1" t="s">
        <v>1020</v>
      </c>
    </row>
    <row r="122" spans="1:14" x14ac:dyDescent="0.25">
      <c r="A122" s="1" t="s">
        <v>112</v>
      </c>
      <c r="B122" s="1" t="s">
        <v>1119</v>
      </c>
      <c r="C122" s="1" t="s">
        <v>9</v>
      </c>
      <c r="D122">
        <v>760451</v>
      </c>
      <c r="E122">
        <v>7544</v>
      </c>
      <c r="F122">
        <v>83650</v>
      </c>
      <c r="G122">
        <v>15</v>
      </c>
      <c r="H122" s="4">
        <v>103.7</v>
      </c>
      <c r="I122" s="2">
        <v>0.86666666666666703</v>
      </c>
      <c r="J122">
        <v>2</v>
      </c>
      <c r="K122">
        <v>1</v>
      </c>
      <c r="L122">
        <v>92</v>
      </c>
      <c r="M122" s="1" t="s">
        <v>1018</v>
      </c>
      <c r="N122" s="1" t="s">
        <v>1015</v>
      </c>
    </row>
    <row r="123" spans="1:14" x14ac:dyDescent="0.25">
      <c r="A123" s="1" t="s">
        <v>190</v>
      </c>
      <c r="B123" s="1" t="s">
        <v>1171</v>
      </c>
      <c r="C123" s="1" t="s">
        <v>5</v>
      </c>
      <c r="D123">
        <v>760320</v>
      </c>
      <c r="E123">
        <v>55355</v>
      </c>
      <c r="F123">
        <v>83635</v>
      </c>
      <c r="G123">
        <v>15</v>
      </c>
      <c r="H123" s="4">
        <v>103.60000000000001</v>
      </c>
      <c r="I123" s="2">
        <v>0.66666666666666696</v>
      </c>
      <c r="J123">
        <v>17</v>
      </c>
      <c r="K123">
        <v>2</v>
      </c>
      <c r="L123">
        <v>82</v>
      </c>
      <c r="M123" s="1" t="s">
        <v>1021</v>
      </c>
      <c r="N123" s="1" t="s">
        <v>1020</v>
      </c>
    </row>
    <row r="124" spans="1:14" x14ac:dyDescent="0.25">
      <c r="A124" s="1" t="s">
        <v>113</v>
      </c>
      <c r="B124" s="1" t="s">
        <v>1120</v>
      </c>
      <c r="C124" s="1" t="s">
        <v>9</v>
      </c>
      <c r="D124">
        <v>344434</v>
      </c>
      <c r="E124">
        <v>18685</v>
      </c>
      <c r="F124">
        <v>37888</v>
      </c>
      <c r="G124">
        <v>15</v>
      </c>
      <c r="H124" s="4">
        <v>111.69999999999999</v>
      </c>
      <c r="I124" s="2">
        <v>0.8</v>
      </c>
      <c r="J124">
        <v>0</v>
      </c>
      <c r="K124">
        <v>0</v>
      </c>
      <c r="L124">
        <v>78</v>
      </c>
      <c r="M124" s="1" t="s">
        <v>1021</v>
      </c>
      <c r="N124" s="1" t="s">
        <v>1017</v>
      </c>
    </row>
    <row r="125" spans="1:14" x14ac:dyDescent="0.25">
      <c r="A125" s="1" t="s">
        <v>114</v>
      </c>
      <c r="B125" s="1" t="s">
        <v>1121</v>
      </c>
      <c r="C125" s="1" t="s">
        <v>5</v>
      </c>
      <c r="D125">
        <v>599976</v>
      </c>
      <c r="E125">
        <v>29111</v>
      </c>
      <c r="F125">
        <v>65997</v>
      </c>
      <c r="G125">
        <v>15</v>
      </c>
      <c r="H125" s="4">
        <v>94.3</v>
      </c>
      <c r="I125" s="2">
        <v>0.66666666666666696</v>
      </c>
      <c r="J125">
        <v>0</v>
      </c>
      <c r="K125">
        <v>0</v>
      </c>
      <c r="L125">
        <v>70</v>
      </c>
      <c r="M125" s="1" t="s">
        <v>1021</v>
      </c>
      <c r="N125" s="1" t="s">
        <v>1017</v>
      </c>
    </row>
    <row r="126" spans="1:14" x14ac:dyDescent="0.25">
      <c r="A126" s="1" t="s">
        <v>379</v>
      </c>
      <c r="B126" s="1" t="s">
        <v>1277</v>
      </c>
      <c r="C126" s="1" t="s">
        <v>7</v>
      </c>
      <c r="D126">
        <v>576006</v>
      </c>
      <c r="E126">
        <v>79660</v>
      </c>
      <c r="F126">
        <v>63361</v>
      </c>
      <c r="G126">
        <v>15</v>
      </c>
      <c r="H126" s="4">
        <v>90.1</v>
      </c>
      <c r="I126" s="2">
        <v>0.6</v>
      </c>
      <c r="J126">
        <v>3</v>
      </c>
      <c r="K126">
        <v>1</v>
      </c>
      <c r="L126">
        <v>59</v>
      </c>
      <c r="M126" s="1" t="s">
        <v>1018</v>
      </c>
      <c r="N126" s="1" t="s">
        <v>1019</v>
      </c>
    </row>
    <row r="127" spans="1:14" x14ac:dyDescent="0.25">
      <c r="A127" s="1" t="s">
        <v>115</v>
      </c>
      <c r="B127" s="1" t="s">
        <v>1122</v>
      </c>
      <c r="C127" s="1" t="s">
        <v>12</v>
      </c>
      <c r="D127">
        <v>661120</v>
      </c>
      <c r="E127">
        <v>36863</v>
      </c>
      <c r="F127">
        <v>72723</v>
      </c>
      <c r="G127">
        <v>15</v>
      </c>
      <c r="H127" s="4">
        <v>96.000000000000014</v>
      </c>
      <c r="I127" s="2">
        <v>0.6</v>
      </c>
      <c r="J127">
        <v>5</v>
      </c>
      <c r="K127">
        <v>1</v>
      </c>
      <c r="L127">
        <v>84</v>
      </c>
      <c r="M127" s="1" t="s">
        <v>1016</v>
      </c>
      <c r="N127" s="1" t="s">
        <v>1020</v>
      </c>
    </row>
    <row r="128" spans="1:14" x14ac:dyDescent="0.25">
      <c r="A128" s="1" t="s">
        <v>116</v>
      </c>
      <c r="B128" s="1" t="s">
        <v>1123</v>
      </c>
      <c r="C128" s="1" t="s">
        <v>5</v>
      </c>
      <c r="D128">
        <v>782292</v>
      </c>
      <c r="E128">
        <v>41784</v>
      </c>
      <c r="F128">
        <v>86052</v>
      </c>
      <c r="G128">
        <v>15</v>
      </c>
      <c r="H128" s="4">
        <v>114.00000000000001</v>
      </c>
      <c r="I128" s="2">
        <v>0.93333333333333302</v>
      </c>
      <c r="J128">
        <v>4</v>
      </c>
      <c r="K128">
        <v>1</v>
      </c>
      <c r="L128">
        <v>66</v>
      </c>
      <c r="M128" s="1" t="s">
        <v>1016</v>
      </c>
      <c r="N128" s="1" t="s">
        <v>1019</v>
      </c>
    </row>
    <row r="129" spans="1:14" x14ac:dyDescent="0.25">
      <c r="A129" s="1" t="s">
        <v>134</v>
      </c>
      <c r="B129" s="1" t="s">
        <v>1114</v>
      </c>
      <c r="C129" s="1" t="s">
        <v>37</v>
      </c>
      <c r="D129">
        <v>787263</v>
      </c>
      <c r="E129">
        <v>15406</v>
      </c>
      <c r="F129">
        <v>86599</v>
      </c>
      <c r="G129">
        <v>15</v>
      </c>
      <c r="H129" s="4">
        <v>101</v>
      </c>
      <c r="I129" s="2">
        <v>0.86666666666666703</v>
      </c>
      <c r="J129">
        <v>3</v>
      </c>
      <c r="K129">
        <v>1</v>
      </c>
      <c r="L129">
        <v>87</v>
      </c>
      <c r="M129" s="1" t="s">
        <v>1413</v>
      </c>
      <c r="N129" s="1" t="s">
        <v>1020</v>
      </c>
    </row>
    <row r="130" spans="1:14" x14ac:dyDescent="0.25">
      <c r="A130" s="1" t="s">
        <v>117</v>
      </c>
      <c r="B130" s="1" t="s">
        <v>1094</v>
      </c>
      <c r="C130" s="1" t="s">
        <v>23</v>
      </c>
      <c r="D130">
        <v>338073</v>
      </c>
      <c r="E130">
        <v>36522</v>
      </c>
      <c r="F130">
        <v>37188</v>
      </c>
      <c r="G130">
        <v>15</v>
      </c>
      <c r="H130" s="4">
        <v>98.500000000000014</v>
      </c>
      <c r="I130" s="2">
        <v>0.66666666666666696</v>
      </c>
      <c r="J130">
        <v>0</v>
      </c>
      <c r="K130">
        <v>0</v>
      </c>
      <c r="L130">
        <v>76</v>
      </c>
      <c r="M130" s="1" t="s">
        <v>1014</v>
      </c>
      <c r="N130" s="1" t="s">
        <v>1017</v>
      </c>
    </row>
    <row r="131" spans="1:14" x14ac:dyDescent="0.25">
      <c r="A131" s="1" t="s">
        <v>118</v>
      </c>
      <c r="B131" s="1" t="s">
        <v>1124</v>
      </c>
      <c r="C131" s="1" t="s">
        <v>52</v>
      </c>
      <c r="D131">
        <v>642817</v>
      </c>
      <c r="E131">
        <v>31084</v>
      </c>
      <c r="F131">
        <v>70710</v>
      </c>
      <c r="G131">
        <v>15</v>
      </c>
      <c r="H131" s="4">
        <v>105.80000000000001</v>
      </c>
      <c r="I131" s="2">
        <v>0.8</v>
      </c>
      <c r="J131">
        <v>0</v>
      </c>
      <c r="K131">
        <v>0</v>
      </c>
      <c r="L131">
        <v>87</v>
      </c>
      <c r="M131" s="1" t="s">
        <v>1021</v>
      </c>
      <c r="N131" s="1" t="s">
        <v>1020</v>
      </c>
    </row>
    <row r="132" spans="1:14" x14ac:dyDescent="0.25">
      <c r="A132" s="1" t="s">
        <v>212</v>
      </c>
      <c r="B132" s="1" t="s">
        <v>1188</v>
      </c>
      <c r="C132" s="1" t="s">
        <v>9</v>
      </c>
      <c r="D132">
        <v>837129</v>
      </c>
      <c r="E132">
        <v>20391</v>
      </c>
      <c r="F132">
        <v>92084</v>
      </c>
      <c r="G132">
        <v>15</v>
      </c>
      <c r="H132" s="4">
        <v>111.6</v>
      </c>
      <c r="I132" s="2">
        <v>0.8</v>
      </c>
      <c r="J132">
        <v>5</v>
      </c>
      <c r="K132">
        <v>1</v>
      </c>
      <c r="L132">
        <v>93</v>
      </c>
      <c r="M132" s="1" t="s">
        <v>1413</v>
      </c>
      <c r="N132" s="1" t="s">
        <v>1015</v>
      </c>
    </row>
    <row r="133" spans="1:14" x14ac:dyDescent="0.25">
      <c r="A133" s="1" t="s">
        <v>119</v>
      </c>
      <c r="B133" s="1" t="s">
        <v>1125</v>
      </c>
      <c r="C133" s="1" t="s">
        <v>52</v>
      </c>
      <c r="D133">
        <v>844039</v>
      </c>
      <c r="E133">
        <v>37601</v>
      </c>
      <c r="F133">
        <v>92844</v>
      </c>
      <c r="G133">
        <v>15</v>
      </c>
      <c r="H133" s="4">
        <v>118.60000000000001</v>
      </c>
      <c r="I133" s="2">
        <v>0.8</v>
      </c>
      <c r="J133">
        <v>0</v>
      </c>
      <c r="K133">
        <v>0</v>
      </c>
      <c r="L133">
        <v>98</v>
      </c>
      <c r="M133" s="1" t="s">
        <v>1413</v>
      </c>
      <c r="N133" s="1" t="s">
        <v>1015</v>
      </c>
    </row>
    <row r="134" spans="1:14" x14ac:dyDescent="0.25">
      <c r="A134" s="1" t="s">
        <v>120</v>
      </c>
      <c r="B134" s="1" t="s">
        <v>1126</v>
      </c>
      <c r="C134" s="1" t="s">
        <v>23</v>
      </c>
      <c r="D134">
        <v>751642</v>
      </c>
      <c r="E134">
        <v>48194</v>
      </c>
      <c r="F134">
        <v>82681</v>
      </c>
      <c r="G134">
        <v>15</v>
      </c>
      <c r="H134" s="4">
        <v>102.00000000000001</v>
      </c>
      <c r="I134" s="2">
        <v>0.66666666666666696</v>
      </c>
      <c r="J134">
        <v>0</v>
      </c>
      <c r="K134">
        <v>0</v>
      </c>
      <c r="L134">
        <v>93</v>
      </c>
      <c r="M134" s="1" t="s">
        <v>1413</v>
      </c>
      <c r="N134" s="1" t="s">
        <v>1015</v>
      </c>
    </row>
    <row r="135" spans="1:14" x14ac:dyDescent="0.25">
      <c r="A135" s="1" t="s">
        <v>311</v>
      </c>
      <c r="B135" s="1" t="s">
        <v>1113</v>
      </c>
      <c r="C135" s="1" t="s">
        <v>5</v>
      </c>
      <c r="D135">
        <v>655753</v>
      </c>
      <c r="E135">
        <v>83137</v>
      </c>
      <c r="F135">
        <v>72133</v>
      </c>
      <c r="G135">
        <v>15</v>
      </c>
      <c r="H135" s="4">
        <v>88.800000000000011</v>
      </c>
      <c r="I135" s="2">
        <v>0.66666666666666696</v>
      </c>
      <c r="J135">
        <v>5</v>
      </c>
      <c r="K135">
        <v>1</v>
      </c>
      <c r="L135">
        <v>88</v>
      </c>
      <c r="M135" s="1" t="s">
        <v>1016</v>
      </c>
      <c r="N135" s="1" t="s">
        <v>1020</v>
      </c>
    </row>
    <row r="136" spans="1:14" x14ac:dyDescent="0.25">
      <c r="A136" s="1" t="s">
        <v>122</v>
      </c>
      <c r="B136" s="1" t="s">
        <v>1128</v>
      </c>
      <c r="C136" s="1" t="s">
        <v>3</v>
      </c>
      <c r="D136">
        <v>401240</v>
      </c>
      <c r="E136">
        <v>4253</v>
      </c>
      <c r="F136">
        <v>44136</v>
      </c>
      <c r="G136">
        <v>15</v>
      </c>
      <c r="H136" s="4">
        <v>107.6</v>
      </c>
      <c r="I136" s="2">
        <v>0.8</v>
      </c>
      <c r="J136">
        <v>0</v>
      </c>
      <c r="K136">
        <v>0</v>
      </c>
      <c r="L136">
        <v>76</v>
      </c>
      <c r="M136" s="1" t="s">
        <v>1018</v>
      </c>
      <c r="N136" s="1" t="s">
        <v>1017</v>
      </c>
    </row>
    <row r="137" spans="1:14" x14ac:dyDescent="0.25">
      <c r="A137" s="1" t="s">
        <v>124</v>
      </c>
      <c r="B137" s="1" t="s">
        <v>1130</v>
      </c>
      <c r="C137" s="1" t="s">
        <v>7</v>
      </c>
      <c r="D137">
        <v>554263</v>
      </c>
      <c r="E137">
        <v>85017</v>
      </c>
      <c r="F137">
        <v>60969</v>
      </c>
      <c r="G137">
        <v>15</v>
      </c>
      <c r="H137" s="4">
        <v>114.09999999999998</v>
      </c>
      <c r="I137" s="2">
        <v>0.8</v>
      </c>
      <c r="J137">
        <v>0</v>
      </c>
      <c r="K137">
        <v>0</v>
      </c>
      <c r="L137">
        <v>73</v>
      </c>
      <c r="M137" s="1" t="s">
        <v>1021</v>
      </c>
      <c r="N137" s="1" t="s">
        <v>1017</v>
      </c>
    </row>
    <row r="138" spans="1:14" x14ac:dyDescent="0.25">
      <c r="A138" s="1" t="s">
        <v>125</v>
      </c>
      <c r="B138" s="1" t="s">
        <v>1131</v>
      </c>
      <c r="C138" s="1" t="s">
        <v>27</v>
      </c>
      <c r="D138">
        <v>517307</v>
      </c>
      <c r="E138">
        <v>80108</v>
      </c>
      <c r="F138">
        <v>56904</v>
      </c>
      <c r="G138">
        <v>15</v>
      </c>
      <c r="H138" s="4">
        <v>106.5</v>
      </c>
      <c r="I138" s="2">
        <v>0.53333333333333299</v>
      </c>
      <c r="J138">
        <v>0</v>
      </c>
      <c r="K138">
        <v>0</v>
      </c>
      <c r="L138">
        <v>99</v>
      </c>
      <c r="M138" s="1" t="s">
        <v>1413</v>
      </c>
      <c r="N138" s="1" t="s">
        <v>1015</v>
      </c>
    </row>
    <row r="139" spans="1:14" x14ac:dyDescent="0.25">
      <c r="A139" s="1" t="s">
        <v>126</v>
      </c>
      <c r="B139" s="1" t="s">
        <v>1132</v>
      </c>
      <c r="C139" s="1" t="s">
        <v>9</v>
      </c>
      <c r="D139">
        <v>535776</v>
      </c>
      <c r="E139">
        <v>78348</v>
      </c>
      <c r="F139">
        <v>58935</v>
      </c>
      <c r="G139">
        <v>15</v>
      </c>
      <c r="H139" s="4">
        <v>122.70000000000002</v>
      </c>
      <c r="I139" s="2">
        <v>0.93333333333333302</v>
      </c>
      <c r="J139">
        <v>0</v>
      </c>
      <c r="K139">
        <v>0</v>
      </c>
      <c r="L139">
        <v>100</v>
      </c>
      <c r="M139" s="1" t="s">
        <v>1413</v>
      </c>
      <c r="N139" s="1" t="s">
        <v>1015</v>
      </c>
    </row>
    <row r="140" spans="1:14" x14ac:dyDescent="0.25">
      <c r="A140" s="1" t="s">
        <v>300</v>
      </c>
      <c r="B140" s="1" t="s">
        <v>1044</v>
      </c>
      <c r="C140" s="1" t="s">
        <v>27</v>
      </c>
      <c r="D140">
        <v>623135</v>
      </c>
      <c r="E140">
        <v>1792</v>
      </c>
      <c r="F140">
        <v>68545</v>
      </c>
      <c r="G140">
        <v>15</v>
      </c>
      <c r="H140" s="4">
        <v>110.69999999999999</v>
      </c>
      <c r="I140" s="2">
        <v>0.73333333333333295</v>
      </c>
      <c r="J140">
        <v>6</v>
      </c>
      <c r="K140">
        <v>1</v>
      </c>
      <c r="L140">
        <v>65</v>
      </c>
      <c r="M140" s="1" t="s">
        <v>1413</v>
      </c>
      <c r="N140" s="1" t="s">
        <v>1019</v>
      </c>
    </row>
    <row r="141" spans="1:14" x14ac:dyDescent="0.25">
      <c r="A141" s="1" t="s">
        <v>127</v>
      </c>
      <c r="B141" s="1" t="s">
        <v>1079</v>
      </c>
      <c r="C141" s="1" t="s">
        <v>5</v>
      </c>
      <c r="D141">
        <v>314987</v>
      </c>
      <c r="E141">
        <v>89271</v>
      </c>
      <c r="F141">
        <v>34649</v>
      </c>
      <c r="G141">
        <v>15</v>
      </c>
      <c r="H141" s="4">
        <v>112.1</v>
      </c>
      <c r="I141" s="2">
        <v>0.86666666666666703</v>
      </c>
      <c r="J141">
        <v>10</v>
      </c>
      <c r="K141">
        <v>1</v>
      </c>
      <c r="L141">
        <v>73</v>
      </c>
      <c r="M141" s="1" t="s">
        <v>1016</v>
      </c>
      <c r="N141" s="1" t="s">
        <v>1017</v>
      </c>
    </row>
    <row r="142" spans="1:14" x14ac:dyDescent="0.25">
      <c r="A142" s="1" t="s">
        <v>128</v>
      </c>
      <c r="B142" s="1" t="s">
        <v>1073</v>
      </c>
      <c r="C142" s="1" t="s">
        <v>37</v>
      </c>
      <c r="D142">
        <v>546757</v>
      </c>
      <c r="E142">
        <v>73242</v>
      </c>
      <c r="F142">
        <v>60143</v>
      </c>
      <c r="G142">
        <v>14</v>
      </c>
      <c r="H142" s="4">
        <v>80</v>
      </c>
      <c r="I142" s="2">
        <v>0.71428571428571397</v>
      </c>
      <c r="J142">
        <v>0</v>
      </c>
      <c r="K142">
        <v>0</v>
      </c>
      <c r="L142">
        <v>91</v>
      </c>
      <c r="M142" s="1" t="s">
        <v>1014</v>
      </c>
      <c r="N142" s="1" t="s">
        <v>1015</v>
      </c>
    </row>
    <row r="143" spans="1:14" x14ac:dyDescent="0.25">
      <c r="A143" s="1" t="s">
        <v>129</v>
      </c>
      <c r="B143" s="1" t="s">
        <v>1133</v>
      </c>
      <c r="C143" s="1" t="s">
        <v>5</v>
      </c>
      <c r="D143">
        <v>323026</v>
      </c>
      <c r="E143">
        <v>34657</v>
      </c>
      <c r="F143">
        <v>35533</v>
      </c>
      <c r="G143">
        <v>14</v>
      </c>
      <c r="H143" s="4">
        <v>77.8</v>
      </c>
      <c r="I143" s="2">
        <v>0.35714285714285698</v>
      </c>
      <c r="J143">
        <v>0</v>
      </c>
      <c r="K143">
        <v>0</v>
      </c>
      <c r="L143">
        <v>61</v>
      </c>
      <c r="M143" s="1" t="s">
        <v>1014</v>
      </c>
      <c r="N143" s="1" t="s">
        <v>1019</v>
      </c>
    </row>
    <row r="144" spans="1:14" x14ac:dyDescent="0.25">
      <c r="A144" s="1" t="s">
        <v>130</v>
      </c>
      <c r="B144" s="1" t="s">
        <v>1103</v>
      </c>
      <c r="C144" s="1" t="s">
        <v>52</v>
      </c>
      <c r="D144">
        <v>537737</v>
      </c>
      <c r="E144">
        <v>41700</v>
      </c>
      <c r="F144">
        <v>59151</v>
      </c>
      <c r="G144">
        <v>15</v>
      </c>
      <c r="H144" s="4">
        <v>96.899999999999991</v>
      </c>
      <c r="I144" s="2">
        <v>0.73333333333333295</v>
      </c>
      <c r="J144">
        <v>0</v>
      </c>
      <c r="K144">
        <v>0</v>
      </c>
      <c r="L144">
        <v>93</v>
      </c>
      <c r="M144" s="1" t="s">
        <v>1413</v>
      </c>
      <c r="N144" s="1" t="s">
        <v>1015</v>
      </c>
    </row>
    <row r="145" spans="1:14" x14ac:dyDescent="0.25">
      <c r="A145" s="1" t="s">
        <v>131</v>
      </c>
      <c r="B145" s="1" t="s">
        <v>1134</v>
      </c>
      <c r="C145" s="1" t="s">
        <v>23</v>
      </c>
      <c r="D145">
        <v>268731</v>
      </c>
      <c r="E145">
        <v>65453</v>
      </c>
      <c r="F145">
        <v>29560</v>
      </c>
      <c r="G145">
        <v>15</v>
      </c>
      <c r="H145" s="4">
        <v>94.399999999999991</v>
      </c>
      <c r="I145" s="2">
        <v>0.66666666666666696</v>
      </c>
      <c r="J145">
        <v>16</v>
      </c>
      <c r="K145">
        <v>2</v>
      </c>
      <c r="L145">
        <v>85</v>
      </c>
      <c r="M145" s="1" t="s">
        <v>1021</v>
      </c>
      <c r="N145" s="1" t="s">
        <v>1020</v>
      </c>
    </row>
    <row r="146" spans="1:14" x14ac:dyDescent="0.25">
      <c r="A146" s="1" t="s">
        <v>132</v>
      </c>
      <c r="B146" s="1" t="s">
        <v>1135</v>
      </c>
      <c r="C146" s="1" t="s">
        <v>27</v>
      </c>
      <c r="D146">
        <v>658194</v>
      </c>
      <c r="E146">
        <v>43293</v>
      </c>
      <c r="F146">
        <v>72401</v>
      </c>
      <c r="G146">
        <v>15</v>
      </c>
      <c r="H146" s="4">
        <v>70.400000000000006</v>
      </c>
      <c r="I146" s="2">
        <v>0.6</v>
      </c>
      <c r="J146">
        <v>0</v>
      </c>
      <c r="K146">
        <v>0</v>
      </c>
      <c r="L146">
        <v>95</v>
      </c>
      <c r="M146" s="1" t="s">
        <v>1021</v>
      </c>
      <c r="N146" s="1" t="s">
        <v>1015</v>
      </c>
    </row>
    <row r="147" spans="1:14" x14ac:dyDescent="0.25">
      <c r="A147" s="1" t="s">
        <v>133</v>
      </c>
      <c r="B147" s="1" t="s">
        <v>1136</v>
      </c>
      <c r="C147" s="1" t="s">
        <v>12</v>
      </c>
      <c r="D147">
        <v>822463</v>
      </c>
      <c r="E147">
        <v>28731</v>
      </c>
      <c r="F147">
        <v>90471</v>
      </c>
      <c r="G147">
        <v>15</v>
      </c>
      <c r="H147" s="4">
        <v>98.500000000000014</v>
      </c>
      <c r="I147" s="2">
        <v>0.73333333333333295</v>
      </c>
      <c r="J147">
        <v>0</v>
      </c>
      <c r="K147">
        <v>0</v>
      </c>
      <c r="L147">
        <v>97</v>
      </c>
      <c r="M147" s="1" t="s">
        <v>1014</v>
      </c>
      <c r="N147" s="1" t="s">
        <v>1015</v>
      </c>
    </row>
    <row r="148" spans="1:14" x14ac:dyDescent="0.25">
      <c r="A148" s="1" t="s">
        <v>257</v>
      </c>
      <c r="B148" s="1" t="s">
        <v>1214</v>
      </c>
      <c r="C148" s="1" t="s">
        <v>1037</v>
      </c>
      <c r="D148">
        <v>748767</v>
      </c>
      <c r="E148">
        <v>63270</v>
      </c>
      <c r="F148">
        <v>82364</v>
      </c>
      <c r="G148">
        <v>15</v>
      </c>
      <c r="H148" s="4">
        <v>88.3</v>
      </c>
      <c r="I148" s="2">
        <v>0.66666666666666696</v>
      </c>
      <c r="J148">
        <v>5</v>
      </c>
      <c r="K148">
        <v>1</v>
      </c>
      <c r="L148">
        <v>67</v>
      </c>
      <c r="M148" s="1" t="s">
        <v>1413</v>
      </c>
      <c r="N148" s="1" t="s">
        <v>1019</v>
      </c>
    </row>
    <row r="149" spans="1:14" x14ac:dyDescent="0.25">
      <c r="A149" s="1" t="s">
        <v>135</v>
      </c>
      <c r="B149" s="1" t="s">
        <v>1137</v>
      </c>
      <c r="C149" s="1" t="s">
        <v>5</v>
      </c>
      <c r="D149">
        <v>450625</v>
      </c>
      <c r="E149">
        <v>60542</v>
      </c>
      <c r="F149">
        <v>49569</v>
      </c>
      <c r="G149">
        <v>15</v>
      </c>
      <c r="H149" s="4">
        <v>97.499999999999986</v>
      </c>
      <c r="I149" s="2">
        <v>0.73333333333333295</v>
      </c>
      <c r="J149">
        <v>17</v>
      </c>
      <c r="K149">
        <v>2</v>
      </c>
      <c r="L149">
        <v>66</v>
      </c>
      <c r="M149" s="1" t="s">
        <v>1021</v>
      </c>
      <c r="N149" s="1" t="s">
        <v>1019</v>
      </c>
    </row>
    <row r="150" spans="1:14" x14ac:dyDescent="0.25">
      <c r="A150" s="1" t="s">
        <v>136</v>
      </c>
      <c r="B150" s="1" t="s">
        <v>1138</v>
      </c>
      <c r="C150" s="1" t="s">
        <v>23</v>
      </c>
      <c r="D150">
        <v>317769</v>
      </c>
      <c r="E150">
        <v>52415</v>
      </c>
      <c r="F150">
        <v>34955</v>
      </c>
      <c r="G150">
        <v>15</v>
      </c>
      <c r="H150" s="4">
        <v>116.8</v>
      </c>
      <c r="I150" s="2">
        <v>0.86666666666666703</v>
      </c>
      <c r="J150">
        <v>12</v>
      </c>
      <c r="K150">
        <v>2</v>
      </c>
      <c r="L150">
        <v>71</v>
      </c>
      <c r="M150" s="1" t="s">
        <v>1014</v>
      </c>
      <c r="N150" s="1" t="s">
        <v>1017</v>
      </c>
    </row>
    <row r="151" spans="1:14" x14ac:dyDescent="0.25">
      <c r="A151" s="1" t="s">
        <v>137</v>
      </c>
      <c r="B151" s="1" t="s">
        <v>1129</v>
      </c>
      <c r="C151" s="1" t="s">
        <v>7</v>
      </c>
      <c r="D151">
        <v>571294</v>
      </c>
      <c r="E151">
        <v>26370</v>
      </c>
      <c r="F151">
        <v>62842</v>
      </c>
      <c r="G151">
        <v>15</v>
      </c>
      <c r="H151" s="4">
        <v>102.1</v>
      </c>
      <c r="I151" s="2">
        <v>0.8</v>
      </c>
      <c r="J151">
        <v>0</v>
      </c>
      <c r="K151">
        <v>0</v>
      </c>
      <c r="L151">
        <v>63</v>
      </c>
      <c r="M151" s="1" t="s">
        <v>1021</v>
      </c>
      <c r="N151" s="1" t="s">
        <v>1019</v>
      </c>
    </row>
    <row r="152" spans="1:14" x14ac:dyDescent="0.25">
      <c r="A152" s="1" t="s">
        <v>237</v>
      </c>
      <c r="B152" s="1" t="s">
        <v>1202</v>
      </c>
      <c r="C152" s="1" t="s">
        <v>37</v>
      </c>
      <c r="D152">
        <v>273173</v>
      </c>
      <c r="E152">
        <v>28841</v>
      </c>
      <c r="F152">
        <v>30049</v>
      </c>
      <c r="G152">
        <v>15</v>
      </c>
      <c r="H152" s="4">
        <v>90.7</v>
      </c>
      <c r="I152" s="2">
        <v>0.66666666666666696</v>
      </c>
      <c r="J152">
        <v>2</v>
      </c>
      <c r="K152">
        <v>1</v>
      </c>
      <c r="L152">
        <v>61</v>
      </c>
      <c r="M152" s="1" t="s">
        <v>1413</v>
      </c>
      <c r="N152" s="1" t="s">
        <v>1019</v>
      </c>
    </row>
    <row r="153" spans="1:14" x14ac:dyDescent="0.25">
      <c r="A153" s="1" t="s">
        <v>138</v>
      </c>
      <c r="B153" s="1" t="s">
        <v>1139</v>
      </c>
      <c r="C153" s="1" t="s">
        <v>7</v>
      </c>
      <c r="D153">
        <v>696974</v>
      </c>
      <c r="E153">
        <v>79731</v>
      </c>
      <c r="F153">
        <v>76667</v>
      </c>
      <c r="G153">
        <v>15</v>
      </c>
      <c r="H153" s="4">
        <v>103.4</v>
      </c>
      <c r="I153" s="2">
        <v>0.73333333333333295</v>
      </c>
      <c r="J153">
        <v>4</v>
      </c>
      <c r="K153">
        <v>1</v>
      </c>
      <c r="L153">
        <v>58</v>
      </c>
      <c r="M153" s="1" t="s">
        <v>1016</v>
      </c>
      <c r="N153" s="1" t="s">
        <v>1019</v>
      </c>
    </row>
    <row r="154" spans="1:14" x14ac:dyDescent="0.25">
      <c r="A154" s="1" t="s">
        <v>139</v>
      </c>
      <c r="B154" s="1" t="s">
        <v>1140</v>
      </c>
      <c r="C154" s="1" t="s">
        <v>23</v>
      </c>
      <c r="D154">
        <v>547264</v>
      </c>
      <c r="E154">
        <v>9955</v>
      </c>
      <c r="F154">
        <v>60199</v>
      </c>
      <c r="G154">
        <v>15</v>
      </c>
      <c r="H154" s="4">
        <v>82.9</v>
      </c>
      <c r="I154" s="2">
        <v>0.66666666666666696</v>
      </c>
      <c r="J154">
        <v>0</v>
      </c>
      <c r="K154">
        <v>0</v>
      </c>
      <c r="L154">
        <v>57</v>
      </c>
      <c r="M154" s="1" t="s">
        <v>1014</v>
      </c>
      <c r="N154" s="1" t="s">
        <v>1019</v>
      </c>
    </row>
    <row r="155" spans="1:14" x14ac:dyDescent="0.25">
      <c r="A155" s="1" t="s">
        <v>141</v>
      </c>
      <c r="B155" s="1" t="s">
        <v>1063</v>
      </c>
      <c r="C155" s="1" t="s">
        <v>37</v>
      </c>
      <c r="D155">
        <v>315931</v>
      </c>
      <c r="E155">
        <v>39486</v>
      </c>
      <c r="F155">
        <v>34752</v>
      </c>
      <c r="G155">
        <v>15</v>
      </c>
      <c r="H155" s="4">
        <v>113.39999999999999</v>
      </c>
      <c r="I155" s="2">
        <v>0.93333333333333302</v>
      </c>
      <c r="J155">
        <v>0</v>
      </c>
      <c r="K155">
        <v>0</v>
      </c>
      <c r="L155">
        <v>95</v>
      </c>
      <c r="M155" s="1" t="s">
        <v>1413</v>
      </c>
      <c r="N155" s="1" t="s">
        <v>1015</v>
      </c>
    </row>
    <row r="156" spans="1:14" x14ac:dyDescent="0.25">
      <c r="A156" s="1" t="s">
        <v>319</v>
      </c>
      <c r="B156" s="1" t="s">
        <v>1249</v>
      </c>
      <c r="C156" s="1" t="s">
        <v>37</v>
      </c>
      <c r="D156">
        <v>664919</v>
      </c>
      <c r="E156">
        <v>12040</v>
      </c>
      <c r="F156">
        <v>73141</v>
      </c>
      <c r="G156">
        <v>15</v>
      </c>
      <c r="H156" s="4">
        <v>85.600000000000009</v>
      </c>
      <c r="I156" s="2">
        <v>0.73333333333333295</v>
      </c>
      <c r="J156">
        <v>2</v>
      </c>
      <c r="K156">
        <v>1</v>
      </c>
      <c r="L156">
        <v>79</v>
      </c>
      <c r="M156" s="1" t="s">
        <v>1014</v>
      </c>
      <c r="N156" s="1" t="s">
        <v>1017</v>
      </c>
    </row>
    <row r="157" spans="1:14" x14ac:dyDescent="0.25">
      <c r="A157" s="1" t="s">
        <v>142</v>
      </c>
      <c r="B157" s="1" t="s">
        <v>1142</v>
      </c>
      <c r="C157" s="1" t="s">
        <v>3</v>
      </c>
      <c r="D157">
        <v>683814</v>
      </c>
      <c r="E157">
        <v>9575</v>
      </c>
      <c r="F157">
        <v>75220</v>
      </c>
      <c r="G157">
        <v>15</v>
      </c>
      <c r="H157" s="4">
        <v>87</v>
      </c>
      <c r="I157" s="2">
        <v>0.6</v>
      </c>
      <c r="J157">
        <v>2</v>
      </c>
      <c r="K157">
        <v>1</v>
      </c>
      <c r="L157">
        <v>83</v>
      </c>
      <c r="M157" s="1" t="s">
        <v>1021</v>
      </c>
      <c r="N157" s="1" t="s">
        <v>1020</v>
      </c>
    </row>
    <row r="158" spans="1:14" x14ac:dyDescent="0.25">
      <c r="A158" s="1" t="s">
        <v>143</v>
      </c>
      <c r="B158" s="1" t="s">
        <v>1143</v>
      </c>
      <c r="C158" s="1" t="s">
        <v>1117</v>
      </c>
      <c r="D158">
        <v>379292</v>
      </c>
      <c r="E158">
        <v>79235</v>
      </c>
      <c r="F158">
        <v>41722</v>
      </c>
      <c r="G158">
        <v>15</v>
      </c>
      <c r="H158" s="4">
        <v>114.60000000000001</v>
      </c>
      <c r="I158" s="2">
        <v>0.93333333333333302</v>
      </c>
      <c r="J158">
        <v>0</v>
      </c>
      <c r="K158">
        <v>0</v>
      </c>
      <c r="L158">
        <v>97</v>
      </c>
      <c r="M158" s="1" t="s">
        <v>1014</v>
      </c>
      <c r="N158" s="1" t="s">
        <v>1015</v>
      </c>
    </row>
    <row r="159" spans="1:14" x14ac:dyDescent="0.25">
      <c r="A159" s="1" t="s">
        <v>185</v>
      </c>
      <c r="B159" s="1" t="s">
        <v>1081</v>
      </c>
      <c r="C159" s="1" t="s">
        <v>9</v>
      </c>
      <c r="D159">
        <v>264357</v>
      </c>
      <c r="E159">
        <v>54241</v>
      </c>
      <c r="F159">
        <v>29079</v>
      </c>
      <c r="G159">
        <v>15</v>
      </c>
      <c r="H159" s="4">
        <v>97.90000000000002</v>
      </c>
      <c r="I159" s="2">
        <v>0.73333333333333295</v>
      </c>
      <c r="J159">
        <v>8</v>
      </c>
      <c r="K159">
        <v>1</v>
      </c>
      <c r="L159">
        <v>91</v>
      </c>
      <c r="M159" s="1" t="s">
        <v>1413</v>
      </c>
      <c r="N159" s="1" t="s">
        <v>1015</v>
      </c>
    </row>
    <row r="160" spans="1:14" x14ac:dyDescent="0.25">
      <c r="A160" s="1" t="s">
        <v>145</v>
      </c>
      <c r="B160" s="1" t="s">
        <v>1145</v>
      </c>
      <c r="C160" s="1" t="s">
        <v>7</v>
      </c>
      <c r="D160">
        <v>641495</v>
      </c>
      <c r="E160">
        <v>77353</v>
      </c>
      <c r="F160">
        <v>70564</v>
      </c>
      <c r="G160">
        <v>15</v>
      </c>
      <c r="H160" s="4">
        <v>122.70000000000002</v>
      </c>
      <c r="I160" s="2">
        <v>0.93333333333333302</v>
      </c>
      <c r="J160">
        <v>0</v>
      </c>
      <c r="K160">
        <v>0</v>
      </c>
      <c r="L160">
        <v>92</v>
      </c>
      <c r="M160" s="1" t="s">
        <v>1016</v>
      </c>
      <c r="N160" s="1" t="s">
        <v>1015</v>
      </c>
    </row>
    <row r="161" spans="1:14" x14ac:dyDescent="0.25">
      <c r="A161" s="1" t="s">
        <v>146</v>
      </c>
      <c r="B161" s="1" t="s">
        <v>1146</v>
      </c>
      <c r="C161" s="1" t="s">
        <v>1037</v>
      </c>
      <c r="D161">
        <v>498421</v>
      </c>
      <c r="E161">
        <v>56497</v>
      </c>
      <c r="F161">
        <v>54826</v>
      </c>
      <c r="G161">
        <v>15</v>
      </c>
      <c r="H161" s="4">
        <v>112.10000000000001</v>
      </c>
      <c r="I161" s="2">
        <v>0.86666666666666703</v>
      </c>
      <c r="J161">
        <v>0</v>
      </c>
      <c r="K161">
        <v>0</v>
      </c>
      <c r="L161">
        <v>76</v>
      </c>
      <c r="M161" s="1" t="s">
        <v>1014</v>
      </c>
      <c r="N161" s="1" t="s">
        <v>1017</v>
      </c>
    </row>
    <row r="162" spans="1:14" x14ac:dyDescent="0.25">
      <c r="A162" s="1" t="s">
        <v>147</v>
      </c>
      <c r="B162" s="1" t="s">
        <v>1147</v>
      </c>
      <c r="C162" s="1" t="s">
        <v>23</v>
      </c>
      <c r="D162">
        <v>594476</v>
      </c>
      <c r="E162">
        <v>77740</v>
      </c>
      <c r="F162">
        <v>65392</v>
      </c>
      <c r="G162">
        <v>15</v>
      </c>
      <c r="H162" s="4">
        <v>94.3</v>
      </c>
      <c r="I162" s="2">
        <v>0.6</v>
      </c>
      <c r="J162">
        <v>17</v>
      </c>
      <c r="K162">
        <v>2</v>
      </c>
      <c r="L162">
        <v>61</v>
      </c>
      <c r="M162" s="1" t="s">
        <v>1014</v>
      </c>
      <c r="N162" s="1" t="s">
        <v>1019</v>
      </c>
    </row>
    <row r="163" spans="1:14" x14ac:dyDescent="0.25">
      <c r="A163" s="1" t="s">
        <v>148</v>
      </c>
      <c r="B163" s="1" t="s">
        <v>1098</v>
      </c>
      <c r="C163" s="1" t="s">
        <v>9</v>
      </c>
      <c r="D163">
        <v>566324</v>
      </c>
      <c r="E163">
        <v>66546</v>
      </c>
      <c r="F163">
        <v>62296</v>
      </c>
      <c r="G163">
        <v>15</v>
      </c>
      <c r="H163" s="4">
        <v>118.89999999999998</v>
      </c>
      <c r="I163" s="2">
        <v>1</v>
      </c>
      <c r="J163">
        <v>0</v>
      </c>
      <c r="K163">
        <v>0</v>
      </c>
      <c r="L163">
        <v>99</v>
      </c>
      <c r="M163" s="1" t="s">
        <v>1018</v>
      </c>
      <c r="N163" s="1" t="s">
        <v>1015</v>
      </c>
    </row>
    <row r="164" spans="1:14" x14ac:dyDescent="0.25">
      <c r="A164" s="1" t="s">
        <v>149</v>
      </c>
      <c r="B164" s="1" t="s">
        <v>1148</v>
      </c>
      <c r="C164" s="1" t="s">
        <v>52</v>
      </c>
      <c r="D164">
        <v>564217</v>
      </c>
      <c r="E164">
        <v>43018</v>
      </c>
      <c r="F164">
        <v>62064</v>
      </c>
      <c r="G164">
        <v>15</v>
      </c>
      <c r="H164" s="4">
        <v>119.60000000000001</v>
      </c>
      <c r="I164" s="2">
        <v>0.8</v>
      </c>
      <c r="J164">
        <v>0</v>
      </c>
      <c r="K164">
        <v>0</v>
      </c>
      <c r="L164">
        <v>82</v>
      </c>
      <c r="M164" s="1" t="s">
        <v>1413</v>
      </c>
      <c r="N164" s="1" t="s">
        <v>1020</v>
      </c>
    </row>
    <row r="165" spans="1:14" x14ac:dyDescent="0.25">
      <c r="A165" s="1" t="s">
        <v>151</v>
      </c>
      <c r="B165" s="1" t="s">
        <v>1150</v>
      </c>
      <c r="C165" s="1" t="s">
        <v>9</v>
      </c>
      <c r="D165">
        <v>441268</v>
      </c>
      <c r="E165">
        <v>11184</v>
      </c>
      <c r="F165">
        <v>48539</v>
      </c>
      <c r="G165">
        <v>15</v>
      </c>
      <c r="H165" s="4">
        <v>112.2</v>
      </c>
      <c r="I165" s="2">
        <v>0.66666666666666696</v>
      </c>
      <c r="J165">
        <v>0</v>
      </c>
      <c r="K165">
        <v>0</v>
      </c>
      <c r="L165">
        <v>75</v>
      </c>
      <c r="M165" s="1" t="s">
        <v>1014</v>
      </c>
      <c r="N165" s="1" t="s">
        <v>1017</v>
      </c>
    </row>
    <row r="166" spans="1:14" x14ac:dyDescent="0.25">
      <c r="A166" s="1" t="s">
        <v>221</v>
      </c>
      <c r="B166" s="1" t="s">
        <v>1194</v>
      </c>
      <c r="C166" s="1" t="s">
        <v>7</v>
      </c>
      <c r="D166">
        <v>484676</v>
      </c>
      <c r="E166">
        <v>45073</v>
      </c>
      <c r="F166">
        <v>53314</v>
      </c>
      <c r="G166">
        <v>15</v>
      </c>
      <c r="H166" s="4">
        <v>90</v>
      </c>
      <c r="I166" s="2">
        <v>0.6</v>
      </c>
      <c r="J166">
        <v>14</v>
      </c>
      <c r="K166">
        <v>1</v>
      </c>
      <c r="L166">
        <v>72</v>
      </c>
      <c r="M166" s="1" t="s">
        <v>1014</v>
      </c>
      <c r="N166" s="1" t="s">
        <v>1017</v>
      </c>
    </row>
    <row r="167" spans="1:14" x14ac:dyDescent="0.25">
      <c r="A167" s="1" t="s">
        <v>152</v>
      </c>
      <c r="B167" s="1" t="s">
        <v>1151</v>
      </c>
      <c r="C167" s="1" t="s">
        <v>27</v>
      </c>
      <c r="D167">
        <v>446014</v>
      </c>
      <c r="E167">
        <v>83034</v>
      </c>
      <c r="F167">
        <v>49062</v>
      </c>
      <c r="G167">
        <v>15</v>
      </c>
      <c r="H167" s="4">
        <v>99.3</v>
      </c>
      <c r="I167" s="2">
        <v>0.8</v>
      </c>
      <c r="J167">
        <v>6</v>
      </c>
      <c r="K167">
        <v>1</v>
      </c>
      <c r="L167">
        <v>63</v>
      </c>
      <c r="M167" s="1" t="s">
        <v>1014</v>
      </c>
      <c r="N167" s="1" t="s">
        <v>1019</v>
      </c>
    </row>
    <row r="168" spans="1:14" x14ac:dyDescent="0.25">
      <c r="A168" s="1" t="s">
        <v>153</v>
      </c>
      <c r="B168" s="1" t="s">
        <v>1088</v>
      </c>
      <c r="C168" s="1" t="s">
        <v>1037</v>
      </c>
      <c r="D168">
        <v>731366</v>
      </c>
      <c r="E168">
        <v>51207</v>
      </c>
      <c r="F168">
        <v>80450</v>
      </c>
      <c r="G168">
        <v>15</v>
      </c>
      <c r="H168" s="4">
        <v>114.4</v>
      </c>
      <c r="I168" s="2">
        <v>0.66666666666666696</v>
      </c>
      <c r="J168">
        <v>0</v>
      </c>
      <c r="K168">
        <v>0</v>
      </c>
      <c r="L168">
        <v>60</v>
      </c>
      <c r="M168" s="1" t="s">
        <v>1413</v>
      </c>
      <c r="N168" s="1" t="s">
        <v>1019</v>
      </c>
    </row>
    <row r="169" spans="1:14" x14ac:dyDescent="0.25">
      <c r="A169" s="1" t="s">
        <v>154</v>
      </c>
      <c r="B169" s="1" t="s">
        <v>1070</v>
      </c>
      <c r="C169" s="1" t="s">
        <v>27</v>
      </c>
      <c r="D169">
        <v>284960</v>
      </c>
      <c r="E169">
        <v>18020</v>
      </c>
      <c r="F169">
        <v>31346</v>
      </c>
      <c r="G169">
        <v>15</v>
      </c>
      <c r="H169" s="4">
        <v>102.1</v>
      </c>
      <c r="I169" s="2">
        <v>0.66666666666666696</v>
      </c>
      <c r="J169">
        <v>24</v>
      </c>
      <c r="K169">
        <v>2</v>
      </c>
      <c r="L169">
        <v>78</v>
      </c>
      <c r="M169" s="1" t="s">
        <v>1018</v>
      </c>
      <c r="N169" s="1" t="s">
        <v>1017</v>
      </c>
    </row>
    <row r="170" spans="1:14" x14ac:dyDescent="0.25">
      <c r="A170" s="1" t="s">
        <v>155</v>
      </c>
      <c r="B170" s="1" t="s">
        <v>1121</v>
      </c>
      <c r="C170" s="1" t="s">
        <v>52</v>
      </c>
      <c r="D170">
        <v>758538</v>
      </c>
      <c r="E170">
        <v>61362</v>
      </c>
      <c r="F170">
        <v>83439</v>
      </c>
      <c r="G170">
        <v>15</v>
      </c>
      <c r="H170" s="4">
        <v>113.39999999999999</v>
      </c>
      <c r="I170" s="2">
        <v>0.8</v>
      </c>
      <c r="J170">
        <v>0</v>
      </c>
      <c r="K170">
        <v>0</v>
      </c>
      <c r="L170">
        <v>97</v>
      </c>
      <c r="M170" s="1" t="s">
        <v>1014</v>
      </c>
      <c r="N170" s="1" t="s">
        <v>1015</v>
      </c>
    </row>
    <row r="171" spans="1:14" x14ac:dyDescent="0.25">
      <c r="A171" s="1" t="s">
        <v>156</v>
      </c>
      <c r="B171" s="1" t="s">
        <v>1053</v>
      </c>
      <c r="C171" s="1" t="s">
        <v>3</v>
      </c>
      <c r="D171">
        <v>386324</v>
      </c>
      <c r="E171">
        <v>73281</v>
      </c>
      <c r="F171">
        <v>42496</v>
      </c>
      <c r="G171">
        <v>15</v>
      </c>
      <c r="H171" s="4">
        <v>95.6</v>
      </c>
      <c r="I171" s="2">
        <v>0.6</v>
      </c>
      <c r="J171">
        <v>0</v>
      </c>
      <c r="K171">
        <v>0</v>
      </c>
      <c r="L171">
        <v>100</v>
      </c>
      <c r="M171" s="1" t="s">
        <v>1021</v>
      </c>
      <c r="N171" s="1" t="s">
        <v>1015</v>
      </c>
    </row>
    <row r="172" spans="1:14" x14ac:dyDescent="0.25">
      <c r="A172" s="1" t="s">
        <v>157</v>
      </c>
      <c r="B172" s="1" t="s">
        <v>1152</v>
      </c>
      <c r="C172" s="1" t="s">
        <v>1037</v>
      </c>
      <c r="D172">
        <v>777097</v>
      </c>
      <c r="E172">
        <v>58285</v>
      </c>
      <c r="F172">
        <v>85481</v>
      </c>
      <c r="G172">
        <v>15</v>
      </c>
      <c r="H172" s="4">
        <v>114.39999999999999</v>
      </c>
      <c r="I172" s="2">
        <v>0.73333333333333295</v>
      </c>
      <c r="J172">
        <v>0</v>
      </c>
      <c r="K172">
        <v>0</v>
      </c>
      <c r="L172">
        <v>65</v>
      </c>
      <c r="M172" s="1" t="s">
        <v>1018</v>
      </c>
      <c r="N172" s="1" t="s">
        <v>1019</v>
      </c>
    </row>
    <row r="173" spans="1:14" x14ac:dyDescent="0.25">
      <c r="A173" s="1" t="s">
        <v>159</v>
      </c>
      <c r="B173" s="1" t="s">
        <v>1153</v>
      </c>
      <c r="C173" s="1" t="s">
        <v>1037</v>
      </c>
      <c r="D173">
        <v>368829</v>
      </c>
      <c r="E173">
        <v>23744</v>
      </c>
      <c r="F173">
        <v>40571</v>
      </c>
      <c r="G173">
        <v>15</v>
      </c>
      <c r="H173" s="4">
        <v>115.6</v>
      </c>
      <c r="I173" s="2">
        <v>0.8</v>
      </c>
      <c r="J173">
        <v>0</v>
      </c>
      <c r="K173">
        <v>0</v>
      </c>
      <c r="L173">
        <v>63</v>
      </c>
      <c r="M173" s="1" t="s">
        <v>1413</v>
      </c>
      <c r="N173" s="1" t="s">
        <v>1019</v>
      </c>
    </row>
    <row r="174" spans="1:14" x14ac:dyDescent="0.25">
      <c r="A174" s="1" t="s">
        <v>347</v>
      </c>
      <c r="B174" s="1" t="s">
        <v>1263</v>
      </c>
      <c r="C174" s="1" t="s">
        <v>37</v>
      </c>
      <c r="D174">
        <v>432904</v>
      </c>
      <c r="E174">
        <v>85630</v>
      </c>
      <c r="F174">
        <v>47619</v>
      </c>
      <c r="G174">
        <v>15</v>
      </c>
      <c r="H174" s="4">
        <v>86.5</v>
      </c>
      <c r="I174" s="2">
        <v>0.66666666666666696</v>
      </c>
      <c r="J174">
        <v>8</v>
      </c>
      <c r="K174">
        <v>1</v>
      </c>
      <c r="L174">
        <v>78</v>
      </c>
      <c r="M174" s="1" t="s">
        <v>1016</v>
      </c>
      <c r="N174" s="1" t="s">
        <v>1017</v>
      </c>
    </row>
    <row r="175" spans="1:14" x14ac:dyDescent="0.25">
      <c r="A175" s="1" t="s">
        <v>160</v>
      </c>
      <c r="B175" s="1" t="s">
        <v>1154</v>
      </c>
      <c r="C175" s="1" t="s">
        <v>52</v>
      </c>
      <c r="D175">
        <v>431594</v>
      </c>
      <c r="E175">
        <v>35398</v>
      </c>
      <c r="F175">
        <v>47475</v>
      </c>
      <c r="G175">
        <v>15</v>
      </c>
      <c r="H175" s="4">
        <v>80.2</v>
      </c>
      <c r="I175" s="2">
        <v>0.66666666666666696</v>
      </c>
      <c r="J175">
        <v>12</v>
      </c>
      <c r="K175">
        <v>1</v>
      </c>
      <c r="L175">
        <v>78</v>
      </c>
      <c r="M175" s="1" t="s">
        <v>1014</v>
      </c>
      <c r="N175" s="1" t="s">
        <v>1017</v>
      </c>
    </row>
    <row r="176" spans="1:14" x14ac:dyDescent="0.25">
      <c r="A176" s="1" t="s">
        <v>161</v>
      </c>
      <c r="B176" s="1" t="s">
        <v>1134</v>
      </c>
      <c r="C176" s="1" t="s">
        <v>5</v>
      </c>
      <c r="D176">
        <v>432780</v>
      </c>
      <c r="E176">
        <v>70086</v>
      </c>
      <c r="F176">
        <v>47606</v>
      </c>
      <c r="G176">
        <v>15</v>
      </c>
      <c r="H176" s="4">
        <v>101.3</v>
      </c>
      <c r="I176" s="2">
        <v>0.86666666666666703</v>
      </c>
      <c r="J176">
        <v>0</v>
      </c>
      <c r="K176">
        <v>0</v>
      </c>
      <c r="L176">
        <v>77</v>
      </c>
      <c r="M176" s="1" t="s">
        <v>1021</v>
      </c>
      <c r="N176" s="1" t="s">
        <v>1017</v>
      </c>
    </row>
    <row r="177" spans="1:14" x14ac:dyDescent="0.25">
      <c r="A177" s="1" t="s">
        <v>162</v>
      </c>
      <c r="B177" s="1" t="s">
        <v>1155</v>
      </c>
      <c r="C177" s="1" t="s">
        <v>27</v>
      </c>
      <c r="D177">
        <v>456940</v>
      </c>
      <c r="E177">
        <v>51562</v>
      </c>
      <c r="F177">
        <v>50263</v>
      </c>
      <c r="G177">
        <v>15</v>
      </c>
      <c r="H177" s="4">
        <v>113.80000000000001</v>
      </c>
      <c r="I177" s="2">
        <v>0.86666666666666703</v>
      </c>
      <c r="J177">
        <v>15</v>
      </c>
      <c r="K177">
        <v>3</v>
      </c>
      <c r="L177">
        <v>85</v>
      </c>
      <c r="M177" s="1" t="s">
        <v>1021</v>
      </c>
      <c r="N177" s="1" t="s">
        <v>1020</v>
      </c>
    </row>
    <row r="178" spans="1:14" x14ac:dyDescent="0.25">
      <c r="A178" s="1" t="s">
        <v>163</v>
      </c>
      <c r="B178" s="1" t="s">
        <v>1156</v>
      </c>
      <c r="C178" s="1" t="s">
        <v>7</v>
      </c>
      <c r="D178">
        <v>256000</v>
      </c>
      <c r="E178">
        <v>57994</v>
      </c>
      <c r="F178">
        <v>28160</v>
      </c>
      <c r="G178">
        <v>15</v>
      </c>
      <c r="H178" s="4">
        <v>104.7</v>
      </c>
      <c r="I178" s="2">
        <v>0.8</v>
      </c>
      <c r="J178">
        <v>0</v>
      </c>
      <c r="K178">
        <v>0</v>
      </c>
      <c r="L178">
        <v>56</v>
      </c>
      <c r="M178" s="1" t="s">
        <v>1018</v>
      </c>
      <c r="N178" s="1" t="s">
        <v>1019</v>
      </c>
    </row>
    <row r="179" spans="1:14" x14ac:dyDescent="0.25">
      <c r="A179" s="1" t="s">
        <v>375</v>
      </c>
      <c r="B179" s="1" t="s">
        <v>1227</v>
      </c>
      <c r="C179" s="1" t="s">
        <v>1037</v>
      </c>
      <c r="D179">
        <v>521344</v>
      </c>
      <c r="E179">
        <v>4770</v>
      </c>
      <c r="F179">
        <v>57348</v>
      </c>
      <c r="G179">
        <v>15</v>
      </c>
      <c r="H179" s="4">
        <v>103.99999999999999</v>
      </c>
      <c r="I179" s="2">
        <v>0.8</v>
      </c>
      <c r="J179">
        <v>25</v>
      </c>
      <c r="K179">
        <v>2</v>
      </c>
      <c r="L179">
        <v>81</v>
      </c>
      <c r="M179" s="1" t="s">
        <v>1016</v>
      </c>
      <c r="N179" s="1" t="s">
        <v>1020</v>
      </c>
    </row>
    <row r="180" spans="1:14" x14ac:dyDescent="0.25">
      <c r="A180" s="1" t="s">
        <v>164</v>
      </c>
      <c r="B180" s="1" t="s">
        <v>1157</v>
      </c>
      <c r="C180" s="1" t="s">
        <v>7</v>
      </c>
      <c r="D180">
        <v>644318</v>
      </c>
      <c r="E180">
        <v>14479</v>
      </c>
      <c r="F180">
        <v>70875</v>
      </c>
      <c r="G180">
        <v>15</v>
      </c>
      <c r="H180" s="4">
        <v>93.6</v>
      </c>
      <c r="I180" s="2">
        <v>0.66666666666666696</v>
      </c>
      <c r="J180">
        <v>0</v>
      </c>
      <c r="K180">
        <v>0</v>
      </c>
      <c r="L180">
        <v>94</v>
      </c>
      <c r="M180" s="1" t="s">
        <v>1016</v>
      </c>
      <c r="N180" s="1" t="s">
        <v>1015</v>
      </c>
    </row>
    <row r="181" spans="1:14" x14ac:dyDescent="0.25">
      <c r="A181" s="1" t="s">
        <v>165</v>
      </c>
      <c r="B181" s="1" t="s">
        <v>1089</v>
      </c>
      <c r="C181" s="1" t="s">
        <v>23</v>
      </c>
      <c r="D181">
        <v>684228</v>
      </c>
      <c r="E181">
        <v>48505</v>
      </c>
      <c r="F181">
        <v>75265</v>
      </c>
      <c r="G181">
        <v>15</v>
      </c>
      <c r="H181" s="4">
        <v>105.1</v>
      </c>
      <c r="I181" s="2">
        <v>0.73333333333333295</v>
      </c>
      <c r="J181">
        <v>0</v>
      </c>
      <c r="K181">
        <v>0</v>
      </c>
      <c r="L181">
        <v>63</v>
      </c>
      <c r="M181" s="1" t="s">
        <v>1021</v>
      </c>
      <c r="N181" s="1" t="s">
        <v>1019</v>
      </c>
    </row>
    <row r="182" spans="1:14" x14ac:dyDescent="0.25">
      <c r="A182" s="1" t="s">
        <v>213</v>
      </c>
      <c r="B182" s="1" t="s">
        <v>1189</v>
      </c>
      <c r="C182" s="1" t="s">
        <v>1037</v>
      </c>
      <c r="D182">
        <v>742728</v>
      </c>
      <c r="E182">
        <v>76878</v>
      </c>
      <c r="F182">
        <v>81700</v>
      </c>
      <c r="G182">
        <v>15</v>
      </c>
      <c r="H182" s="4">
        <v>95.499999999999986</v>
      </c>
      <c r="I182" s="2">
        <v>0.66666666666666696</v>
      </c>
      <c r="J182">
        <v>8</v>
      </c>
      <c r="K182">
        <v>1</v>
      </c>
      <c r="L182">
        <v>98</v>
      </c>
      <c r="M182" s="1" t="s">
        <v>1016</v>
      </c>
      <c r="N182" s="1" t="s">
        <v>1015</v>
      </c>
    </row>
    <row r="183" spans="1:14" x14ac:dyDescent="0.25">
      <c r="A183" s="1" t="s">
        <v>166</v>
      </c>
      <c r="B183" s="1" t="s">
        <v>1071</v>
      </c>
      <c r="C183" s="1" t="s">
        <v>27</v>
      </c>
      <c r="D183">
        <v>275714</v>
      </c>
      <c r="E183">
        <v>89598</v>
      </c>
      <c r="F183">
        <v>30329</v>
      </c>
      <c r="G183">
        <v>15</v>
      </c>
      <c r="H183" s="4">
        <v>109.89999999999999</v>
      </c>
      <c r="I183" s="2">
        <v>0.86666666666666703</v>
      </c>
      <c r="J183">
        <v>0</v>
      </c>
      <c r="K183">
        <v>0</v>
      </c>
      <c r="L183">
        <v>89</v>
      </c>
      <c r="M183" s="1" t="s">
        <v>1413</v>
      </c>
      <c r="N183" s="1" t="s">
        <v>1020</v>
      </c>
    </row>
    <row r="184" spans="1:14" x14ac:dyDescent="0.25">
      <c r="A184" s="1" t="s">
        <v>167</v>
      </c>
      <c r="B184" s="1" t="s">
        <v>1076</v>
      </c>
      <c r="C184" s="1" t="s">
        <v>3</v>
      </c>
      <c r="D184">
        <v>777748</v>
      </c>
      <c r="E184">
        <v>68754</v>
      </c>
      <c r="F184">
        <v>85552</v>
      </c>
      <c r="G184">
        <v>15</v>
      </c>
      <c r="H184" s="4">
        <v>105.7</v>
      </c>
      <c r="I184" s="2">
        <v>0.8</v>
      </c>
      <c r="J184">
        <v>0</v>
      </c>
      <c r="K184">
        <v>0</v>
      </c>
      <c r="L184">
        <v>60</v>
      </c>
      <c r="M184" s="1" t="s">
        <v>1021</v>
      </c>
      <c r="N184" s="1" t="s">
        <v>1019</v>
      </c>
    </row>
    <row r="185" spans="1:14" x14ac:dyDescent="0.25">
      <c r="A185" s="1" t="s">
        <v>168</v>
      </c>
      <c r="B185" s="1" t="s">
        <v>1158</v>
      </c>
      <c r="C185" s="1" t="s">
        <v>12</v>
      </c>
      <c r="D185">
        <v>390490</v>
      </c>
      <c r="E185">
        <v>58272</v>
      </c>
      <c r="F185">
        <v>42954</v>
      </c>
      <c r="G185">
        <v>14</v>
      </c>
      <c r="H185" s="4">
        <v>111.1</v>
      </c>
      <c r="I185" s="2">
        <v>0.92857142857142905</v>
      </c>
      <c r="J185">
        <v>0</v>
      </c>
      <c r="K185">
        <v>0</v>
      </c>
      <c r="L185">
        <v>64</v>
      </c>
      <c r="M185" s="1" t="s">
        <v>1021</v>
      </c>
      <c r="N185" s="1" t="s">
        <v>1019</v>
      </c>
    </row>
    <row r="186" spans="1:14" x14ac:dyDescent="0.25">
      <c r="A186" s="1" t="s">
        <v>169</v>
      </c>
      <c r="B186" s="1" t="s">
        <v>1159</v>
      </c>
      <c r="C186" s="1" t="s">
        <v>1117</v>
      </c>
      <c r="D186">
        <v>577881</v>
      </c>
      <c r="E186">
        <v>59744</v>
      </c>
      <c r="F186">
        <v>63567</v>
      </c>
      <c r="G186">
        <v>15</v>
      </c>
      <c r="H186" s="4">
        <v>101.6</v>
      </c>
      <c r="I186" s="2">
        <v>0.73333333333333295</v>
      </c>
      <c r="J186">
        <v>10</v>
      </c>
      <c r="K186">
        <v>1</v>
      </c>
      <c r="L186">
        <v>57</v>
      </c>
      <c r="M186" s="1" t="s">
        <v>1021</v>
      </c>
      <c r="N186" s="1" t="s">
        <v>1019</v>
      </c>
    </row>
    <row r="187" spans="1:14" x14ac:dyDescent="0.25">
      <c r="A187" s="1" t="s">
        <v>263</v>
      </c>
      <c r="B187" s="1" t="s">
        <v>1219</v>
      </c>
      <c r="C187" s="1" t="s">
        <v>12</v>
      </c>
      <c r="D187">
        <v>538446</v>
      </c>
      <c r="E187">
        <v>5493</v>
      </c>
      <c r="F187">
        <v>59229</v>
      </c>
      <c r="G187">
        <v>15</v>
      </c>
      <c r="H187" s="4">
        <v>79.699999999999989</v>
      </c>
      <c r="I187" s="2">
        <v>0.66666666666666696</v>
      </c>
      <c r="J187">
        <v>9</v>
      </c>
      <c r="K187">
        <v>1</v>
      </c>
      <c r="L187">
        <v>82</v>
      </c>
      <c r="M187" s="1" t="s">
        <v>1014</v>
      </c>
      <c r="N187" s="1" t="s">
        <v>1020</v>
      </c>
    </row>
    <row r="188" spans="1:14" x14ac:dyDescent="0.25">
      <c r="A188" s="1" t="s">
        <v>170</v>
      </c>
      <c r="B188" s="1" t="s">
        <v>1160</v>
      </c>
      <c r="C188" s="1" t="s">
        <v>27</v>
      </c>
      <c r="D188">
        <v>519167</v>
      </c>
      <c r="E188">
        <v>31965</v>
      </c>
      <c r="F188">
        <v>57108</v>
      </c>
      <c r="G188">
        <v>15</v>
      </c>
      <c r="H188" s="4">
        <v>119.5</v>
      </c>
      <c r="I188" s="2">
        <v>0.93333333333333302</v>
      </c>
      <c r="J188">
        <v>0</v>
      </c>
      <c r="K188">
        <v>0</v>
      </c>
      <c r="L188">
        <v>81</v>
      </c>
      <c r="M188" s="1" t="s">
        <v>1016</v>
      </c>
      <c r="N188" s="1" t="s">
        <v>1020</v>
      </c>
    </row>
    <row r="189" spans="1:14" x14ac:dyDescent="0.25">
      <c r="A189" s="1" t="s">
        <v>171</v>
      </c>
      <c r="B189" s="1" t="s">
        <v>1161</v>
      </c>
      <c r="C189" s="1" t="s">
        <v>5</v>
      </c>
      <c r="D189">
        <v>241882</v>
      </c>
      <c r="E189">
        <v>558</v>
      </c>
      <c r="F189">
        <v>26607</v>
      </c>
      <c r="G189">
        <v>15</v>
      </c>
      <c r="H189" s="4">
        <v>119.70000000000002</v>
      </c>
      <c r="I189" s="2">
        <v>0.93333333333333302</v>
      </c>
      <c r="J189">
        <v>0</v>
      </c>
      <c r="K189">
        <v>0</v>
      </c>
      <c r="L189">
        <v>65</v>
      </c>
      <c r="M189" s="1" t="s">
        <v>1014</v>
      </c>
      <c r="N189" s="1" t="s">
        <v>1019</v>
      </c>
    </row>
    <row r="190" spans="1:14" x14ac:dyDescent="0.25">
      <c r="A190" s="1" t="s">
        <v>275</v>
      </c>
      <c r="B190" s="1" t="s">
        <v>1225</v>
      </c>
      <c r="C190" s="1" t="s">
        <v>1037</v>
      </c>
      <c r="D190">
        <v>298666</v>
      </c>
      <c r="E190">
        <v>39879</v>
      </c>
      <c r="F190">
        <v>32853</v>
      </c>
      <c r="G190">
        <v>15</v>
      </c>
      <c r="H190" s="4">
        <v>89.199999999999989</v>
      </c>
      <c r="I190" s="2">
        <v>0.73333333333333295</v>
      </c>
      <c r="J190">
        <v>23</v>
      </c>
      <c r="K190">
        <v>3</v>
      </c>
      <c r="L190">
        <v>79</v>
      </c>
      <c r="M190" s="1" t="s">
        <v>1413</v>
      </c>
      <c r="N190" s="1" t="s">
        <v>1017</v>
      </c>
    </row>
    <row r="191" spans="1:14" x14ac:dyDescent="0.25">
      <c r="A191" s="1" t="s">
        <v>172</v>
      </c>
      <c r="B191" s="1" t="s">
        <v>1162</v>
      </c>
      <c r="C191" s="1" t="s">
        <v>23</v>
      </c>
      <c r="D191">
        <v>635734</v>
      </c>
      <c r="E191">
        <v>17136</v>
      </c>
      <c r="F191">
        <v>69931</v>
      </c>
      <c r="G191">
        <v>15</v>
      </c>
      <c r="H191" s="4">
        <v>97.199999999999989</v>
      </c>
      <c r="I191" s="2">
        <v>0.8</v>
      </c>
      <c r="J191">
        <v>0</v>
      </c>
      <c r="K191">
        <v>0</v>
      </c>
      <c r="L191">
        <v>62</v>
      </c>
      <c r="M191" s="1" t="s">
        <v>1018</v>
      </c>
      <c r="N191" s="1" t="s">
        <v>1019</v>
      </c>
    </row>
    <row r="192" spans="1:14" x14ac:dyDescent="0.25">
      <c r="A192" s="1" t="s">
        <v>173</v>
      </c>
      <c r="B192" s="1" t="s">
        <v>1155</v>
      </c>
      <c r="C192" s="1" t="s">
        <v>7</v>
      </c>
      <c r="D192">
        <v>628655</v>
      </c>
      <c r="E192">
        <v>16990</v>
      </c>
      <c r="F192">
        <v>69152</v>
      </c>
      <c r="G192">
        <v>15</v>
      </c>
      <c r="H192" s="4">
        <v>95.399999999999991</v>
      </c>
      <c r="I192" s="2">
        <v>0.8</v>
      </c>
      <c r="J192">
        <v>0</v>
      </c>
      <c r="K192">
        <v>0</v>
      </c>
      <c r="L192">
        <v>66</v>
      </c>
      <c r="M192" s="1" t="s">
        <v>1016</v>
      </c>
      <c r="N192" s="1" t="s">
        <v>1019</v>
      </c>
    </row>
    <row r="193" spans="1:14" x14ac:dyDescent="0.25">
      <c r="A193" s="1" t="s">
        <v>389</v>
      </c>
      <c r="B193" s="1" t="s">
        <v>1217</v>
      </c>
      <c r="C193" s="1" t="s">
        <v>23</v>
      </c>
      <c r="D193">
        <v>327598</v>
      </c>
      <c r="E193">
        <v>81224</v>
      </c>
      <c r="F193">
        <v>36036</v>
      </c>
      <c r="G193">
        <v>15</v>
      </c>
      <c r="H193" s="4">
        <v>89.1</v>
      </c>
      <c r="I193" s="2">
        <v>0.53333333333333299</v>
      </c>
      <c r="J193">
        <v>10</v>
      </c>
      <c r="K193">
        <v>2</v>
      </c>
      <c r="L193">
        <v>66</v>
      </c>
      <c r="M193" s="1" t="s">
        <v>1413</v>
      </c>
      <c r="N193" s="1" t="s">
        <v>1019</v>
      </c>
    </row>
    <row r="194" spans="1:14" x14ac:dyDescent="0.25">
      <c r="A194" s="1" t="s">
        <v>175</v>
      </c>
      <c r="B194" s="1" t="s">
        <v>1104</v>
      </c>
      <c r="C194" s="1" t="s">
        <v>52</v>
      </c>
      <c r="D194">
        <v>248290</v>
      </c>
      <c r="E194">
        <v>60263</v>
      </c>
      <c r="F194">
        <v>27312</v>
      </c>
      <c r="G194">
        <v>15</v>
      </c>
      <c r="H194" s="4">
        <v>85.999999999999986</v>
      </c>
      <c r="I194" s="2">
        <v>0.6</v>
      </c>
      <c r="J194">
        <v>0</v>
      </c>
      <c r="K194">
        <v>0</v>
      </c>
      <c r="L194">
        <v>96</v>
      </c>
      <c r="M194" s="1" t="s">
        <v>1014</v>
      </c>
      <c r="N194" s="1" t="s">
        <v>1015</v>
      </c>
    </row>
    <row r="195" spans="1:14" x14ac:dyDescent="0.25">
      <c r="A195" s="1" t="s">
        <v>176</v>
      </c>
      <c r="B195" s="1" t="s">
        <v>1164</v>
      </c>
      <c r="C195" s="1" t="s">
        <v>7</v>
      </c>
      <c r="D195">
        <v>493236</v>
      </c>
      <c r="E195">
        <v>39521</v>
      </c>
      <c r="F195">
        <v>54256</v>
      </c>
      <c r="G195">
        <v>15</v>
      </c>
      <c r="H195" s="4">
        <v>104.19999999999999</v>
      </c>
      <c r="I195" s="2">
        <v>0.66666666666666696</v>
      </c>
      <c r="J195">
        <v>9</v>
      </c>
      <c r="K195">
        <v>1</v>
      </c>
      <c r="L195">
        <v>77</v>
      </c>
      <c r="M195" s="1" t="s">
        <v>1413</v>
      </c>
      <c r="N195" s="1" t="s">
        <v>1017</v>
      </c>
    </row>
    <row r="196" spans="1:14" x14ac:dyDescent="0.25">
      <c r="A196" s="1" t="s">
        <v>350</v>
      </c>
      <c r="B196" s="1" t="s">
        <v>1264</v>
      </c>
      <c r="C196" s="1" t="s">
        <v>9</v>
      </c>
      <c r="D196">
        <v>477670</v>
      </c>
      <c r="E196">
        <v>33844</v>
      </c>
      <c r="F196">
        <v>52544</v>
      </c>
      <c r="G196">
        <v>15</v>
      </c>
      <c r="H196" s="4">
        <v>106.1</v>
      </c>
      <c r="I196" s="2">
        <v>0.66666666666666696</v>
      </c>
      <c r="J196">
        <v>6</v>
      </c>
      <c r="K196">
        <v>1</v>
      </c>
      <c r="L196">
        <v>57</v>
      </c>
      <c r="M196" s="1" t="s">
        <v>1413</v>
      </c>
      <c r="N196" s="1" t="s">
        <v>1019</v>
      </c>
    </row>
    <row r="197" spans="1:14" x14ac:dyDescent="0.25">
      <c r="A197" s="1" t="s">
        <v>178</v>
      </c>
      <c r="B197" s="1" t="s">
        <v>1155</v>
      </c>
      <c r="C197" s="1" t="s">
        <v>23</v>
      </c>
      <c r="D197">
        <v>608548</v>
      </c>
      <c r="E197">
        <v>72402</v>
      </c>
      <c r="F197">
        <v>66940</v>
      </c>
      <c r="G197">
        <v>15</v>
      </c>
      <c r="H197" s="4">
        <v>100.4</v>
      </c>
      <c r="I197" s="2">
        <v>0.8</v>
      </c>
      <c r="J197">
        <v>3</v>
      </c>
      <c r="K197">
        <v>1</v>
      </c>
      <c r="L197">
        <v>67</v>
      </c>
      <c r="M197" s="1" t="s">
        <v>1014</v>
      </c>
      <c r="N197" s="1" t="s">
        <v>1019</v>
      </c>
    </row>
    <row r="198" spans="1:14" x14ac:dyDescent="0.25">
      <c r="A198" s="1" t="s">
        <v>179</v>
      </c>
      <c r="B198" s="1" t="s">
        <v>1048</v>
      </c>
      <c r="C198" s="1" t="s">
        <v>7</v>
      </c>
      <c r="D198">
        <v>655525</v>
      </c>
      <c r="E198">
        <v>13476</v>
      </c>
      <c r="F198">
        <v>72108</v>
      </c>
      <c r="G198">
        <v>15</v>
      </c>
      <c r="H198" s="4">
        <v>87.40000000000002</v>
      </c>
      <c r="I198" s="2">
        <v>0.73333333333333295</v>
      </c>
      <c r="J198">
        <v>7</v>
      </c>
      <c r="K198">
        <v>1</v>
      </c>
      <c r="L198">
        <v>69</v>
      </c>
      <c r="M198" s="1" t="s">
        <v>1021</v>
      </c>
      <c r="N198" s="1" t="s">
        <v>1019</v>
      </c>
    </row>
    <row r="199" spans="1:14" x14ac:dyDescent="0.25">
      <c r="A199" s="1" t="s">
        <v>180</v>
      </c>
      <c r="B199" s="1" t="s">
        <v>1085</v>
      </c>
      <c r="C199" s="1" t="s">
        <v>52</v>
      </c>
      <c r="D199">
        <v>771717</v>
      </c>
      <c r="E199">
        <v>64808</v>
      </c>
      <c r="F199">
        <v>84889</v>
      </c>
      <c r="G199">
        <v>15</v>
      </c>
      <c r="H199" s="4">
        <v>111.5</v>
      </c>
      <c r="I199" s="2">
        <v>0.86666666666666703</v>
      </c>
      <c r="J199">
        <v>0</v>
      </c>
      <c r="K199">
        <v>0</v>
      </c>
      <c r="L199">
        <v>80</v>
      </c>
      <c r="M199" s="1" t="s">
        <v>1413</v>
      </c>
      <c r="N199" s="1" t="s">
        <v>1020</v>
      </c>
    </row>
    <row r="200" spans="1:14" x14ac:dyDescent="0.25">
      <c r="A200" s="1" t="s">
        <v>181</v>
      </c>
      <c r="B200" s="1" t="s">
        <v>1166</v>
      </c>
      <c r="C200" s="1" t="s">
        <v>12</v>
      </c>
      <c r="D200">
        <v>557841</v>
      </c>
      <c r="E200">
        <v>6237</v>
      </c>
      <c r="F200">
        <v>61363</v>
      </c>
      <c r="G200">
        <v>15</v>
      </c>
      <c r="H200" s="4">
        <v>90.3</v>
      </c>
      <c r="I200" s="2">
        <v>0.66666666666666696</v>
      </c>
      <c r="J200">
        <v>0</v>
      </c>
      <c r="K200">
        <v>0</v>
      </c>
      <c r="L200">
        <v>96</v>
      </c>
      <c r="M200" s="1" t="s">
        <v>1018</v>
      </c>
      <c r="N200" s="1" t="s">
        <v>1015</v>
      </c>
    </row>
    <row r="201" spans="1:14" x14ac:dyDescent="0.25">
      <c r="A201" s="1" t="s">
        <v>182</v>
      </c>
      <c r="B201" s="1" t="s">
        <v>1063</v>
      </c>
      <c r="C201" s="1" t="s">
        <v>5</v>
      </c>
      <c r="D201">
        <v>282446</v>
      </c>
      <c r="E201">
        <v>5724</v>
      </c>
      <c r="F201">
        <v>31069</v>
      </c>
      <c r="G201">
        <v>14</v>
      </c>
      <c r="H201" s="4">
        <v>107.79999999999998</v>
      </c>
      <c r="I201" s="2">
        <v>0.85714285714285698</v>
      </c>
      <c r="J201">
        <v>0</v>
      </c>
      <c r="K201">
        <v>0</v>
      </c>
      <c r="L201">
        <v>73</v>
      </c>
      <c r="M201" s="1" t="s">
        <v>1413</v>
      </c>
      <c r="N201" s="1" t="s">
        <v>1017</v>
      </c>
    </row>
    <row r="202" spans="1:14" x14ac:dyDescent="0.25">
      <c r="A202" s="1" t="s">
        <v>371</v>
      </c>
      <c r="B202" s="1" t="s">
        <v>1273</v>
      </c>
      <c r="C202" s="1" t="s">
        <v>3</v>
      </c>
      <c r="D202">
        <v>331781</v>
      </c>
      <c r="E202">
        <v>71961</v>
      </c>
      <c r="F202">
        <v>36496</v>
      </c>
      <c r="G202">
        <v>15</v>
      </c>
      <c r="H202" s="4">
        <v>117.7</v>
      </c>
      <c r="I202" s="2">
        <v>0.8</v>
      </c>
      <c r="J202">
        <v>3</v>
      </c>
      <c r="K202">
        <v>1</v>
      </c>
      <c r="L202">
        <v>86</v>
      </c>
      <c r="M202" s="1" t="s">
        <v>1413</v>
      </c>
      <c r="N202" s="1" t="s">
        <v>1020</v>
      </c>
    </row>
    <row r="203" spans="1:14" x14ac:dyDescent="0.25">
      <c r="A203" s="1" t="s">
        <v>183</v>
      </c>
      <c r="B203" s="1" t="s">
        <v>1152</v>
      </c>
      <c r="C203" s="1" t="s">
        <v>23</v>
      </c>
      <c r="D203">
        <v>436378</v>
      </c>
      <c r="E203">
        <v>53312</v>
      </c>
      <c r="F203">
        <v>48002</v>
      </c>
      <c r="G203">
        <v>15</v>
      </c>
      <c r="H203" s="4">
        <v>120.59999999999998</v>
      </c>
      <c r="I203" s="2">
        <v>0.8</v>
      </c>
      <c r="J203">
        <v>0</v>
      </c>
      <c r="K203">
        <v>0</v>
      </c>
      <c r="L203">
        <v>76</v>
      </c>
      <c r="M203" s="1" t="s">
        <v>1018</v>
      </c>
      <c r="N203" s="1" t="s">
        <v>1017</v>
      </c>
    </row>
    <row r="204" spans="1:14" x14ac:dyDescent="0.25">
      <c r="A204" s="1" t="s">
        <v>184</v>
      </c>
      <c r="B204" s="1" t="s">
        <v>1167</v>
      </c>
      <c r="C204" s="1" t="s">
        <v>27</v>
      </c>
      <c r="D204">
        <v>421329</v>
      </c>
      <c r="E204">
        <v>84191</v>
      </c>
      <c r="F204">
        <v>46346</v>
      </c>
      <c r="G204">
        <v>15</v>
      </c>
      <c r="H204" s="4">
        <v>71.5</v>
      </c>
      <c r="I204" s="2">
        <v>0.6</v>
      </c>
      <c r="J204">
        <v>11</v>
      </c>
      <c r="K204">
        <v>1</v>
      </c>
      <c r="L204">
        <v>92</v>
      </c>
      <c r="M204" s="1" t="s">
        <v>1016</v>
      </c>
      <c r="N204" s="1" t="s">
        <v>1015</v>
      </c>
    </row>
    <row r="205" spans="1:14" x14ac:dyDescent="0.25">
      <c r="A205" s="1" t="s">
        <v>186</v>
      </c>
      <c r="B205" s="1" t="s">
        <v>1168</v>
      </c>
      <c r="C205" s="1" t="s">
        <v>7</v>
      </c>
      <c r="D205">
        <v>500872</v>
      </c>
      <c r="E205">
        <v>20064</v>
      </c>
      <c r="F205">
        <v>55096</v>
      </c>
      <c r="G205">
        <v>15</v>
      </c>
      <c r="H205" s="4">
        <v>112.39999999999999</v>
      </c>
      <c r="I205" s="2">
        <v>0.6</v>
      </c>
      <c r="J205">
        <v>10</v>
      </c>
      <c r="K205">
        <v>1</v>
      </c>
      <c r="L205">
        <v>90</v>
      </c>
      <c r="M205" s="1" t="s">
        <v>1021</v>
      </c>
      <c r="N205" s="1" t="s">
        <v>1015</v>
      </c>
    </row>
    <row r="206" spans="1:14" x14ac:dyDescent="0.25">
      <c r="A206" s="1" t="s">
        <v>372</v>
      </c>
      <c r="B206" s="1" t="s">
        <v>1274</v>
      </c>
      <c r="C206" s="1" t="s">
        <v>5</v>
      </c>
      <c r="D206">
        <v>492128</v>
      </c>
      <c r="E206">
        <v>54700</v>
      </c>
      <c r="F206">
        <v>54134</v>
      </c>
      <c r="G206">
        <v>15</v>
      </c>
      <c r="H206" s="4">
        <v>112.9</v>
      </c>
      <c r="I206" s="2">
        <v>0.8</v>
      </c>
      <c r="J206">
        <v>16</v>
      </c>
      <c r="K206">
        <v>2</v>
      </c>
      <c r="L206">
        <v>97</v>
      </c>
      <c r="M206" s="1" t="s">
        <v>1413</v>
      </c>
      <c r="N206" s="1" t="s">
        <v>1015</v>
      </c>
    </row>
    <row r="207" spans="1:14" x14ac:dyDescent="0.25">
      <c r="A207" s="1" t="s">
        <v>187</v>
      </c>
      <c r="B207" s="1" t="s">
        <v>1046</v>
      </c>
      <c r="C207" s="1" t="s">
        <v>1037</v>
      </c>
      <c r="D207">
        <v>479040</v>
      </c>
      <c r="E207">
        <v>48563</v>
      </c>
      <c r="F207">
        <v>52694</v>
      </c>
      <c r="G207">
        <v>15</v>
      </c>
      <c r="H207" s="4">
        <v>103.2</v>
      </c>
      <c r="I207" s="2">
        <v>0.73333333333333295</v>
      </c>
      <c r="J207">
        <v>0</v>
      </c>
      <c r="K207">
        <v>0</v>
      </c>
      <c r="L207">
        <v>77</v>
      </c>
      <c r="M207" s="1" t="s">
        <v>1021</v>
      </c>
      <c r="N207" s="1" t="s">
        <v>1017</v>
      </c>
    </row>
    <row r="208" spans="1:14" x14ac:dyDescent="0.25">
      <c r="A208" s="1" t="s">
        <v>369</v>
      </c>
      <c r="B208" s="1" t="s">
        <v>1101</v>
      </c>
      <c r="C208" s="1" t="s">
        <v>9</v>
      </c>
      <c r="D208">
        <v>650909</v>
      </c>
      <c r="E208">
        <v>32830</v>
      </c>
      <c r="F208">
        <v>71600</v>
      </c>
      <c r="G208">
        <v>15</v>
      </c>
      <c r="H208" s="4">
        <v>94.600000000000009</v>
      </c>
      <c r="I208" s="2">
        <v>0.73333333333333295</v>
      </c>
      <c r="J208">
        <v>12</v>
      </c>
      <c r="K208">
        <v>1</v>
      </c>
      <c r="L208">
        <v>62</v>
      </c>
      <c r="M208" s="1" t="s">
        <v>1018</v>
      </c>
      <c r="N208" s="1" t="s">
        <v>1019</v>
      </c>
    </row>
    <row r="209" spans="1:14" x14ac:dyDescent="0.25">
      <c r="A209" s="1" t="s">
        <v>189</v>
      </c>
      <c r="B209" s="1" t="s">
        <v>1170</v>
      </c>
      <c r="C209" s="1" t="s">
        <v>52</v>
      </c>
      <c r="D209">
        <v>243751</v>
      </c>
      <c r="E209">
        <v>69659</v>
      </c>
      <c r="G209">
        <v>15</v>
      </c>
      <c r="H209" s="4">
        <v>95.000000000000014</v>
      </c>
      <c r="I209" s="2">
        <v>0.73333333333333295</v>
      </c>
      <c r="J209">
        <v>0</v>
      </c>
      <c r="K209">
        <v>0</v>
      </c>
      <c r="L209">
        <v>82</v>
      </c>
      <c r="M209" s="1" t="s">
        <v>1413</v>
      </c>
      <c r="N209" s="1" t="s">
        <v>1020</v>
      </c>
    </row>
    <row r="210" spans="1:14" x14ac:dyDescent="0.25">
      <c r="A210" s="1" t="s">
        <v>309</v>
      </c>
      <c r="B210" s="1" t="s">
        <v>1242</v>
      </c>
      <c r="C210" s="1" t="s">
        <v>23</v>
      </c>
      <c r="D210">
        <v>479688</v>
      </c>
      <c r="E210">
        <v>57909</v>
      </c>
      <c r="F210">
        <v>52766</v>
      </c>
      <c r="G210">
        <v>15</v>
      </c>
      <c r="H210" s="4">
        <v>116.3</v>
      </c>
      <c r="I210" s="2">
        <v>0.86666666666666703</v>
      </c>
      <c r="J210">
        <v>14</v>
      </c>
      <c r="K210">
        <v>2</v>
      </c>
      <c r="L210">
        <v>83</v>
      </c>
      <c r="M210" s="1" t="s">
        <v>1413</v>
      </c>
      <c r="N210" s="1" t="s">
        <v>1020</v>
      </c>
    </row>
    <row r="211" spans="1:14" x14ac:dyDescent="0.25">
      <c r="A211" s="1" t="s">
        <v>191</v>
      </c>
      <c r="B211" s="1" t="s">
        <v>1118</v>
      </c>
      <c r="C211" s="1" t="s">
        <v>27</v>
      </c>
      <c r="D211">
        <v>298078</v>
      </c>
      <c r="E211">
        <v>85564</v>
      </c>
      <c r="F211">
        <v>32789</v>
      </c>
      <c r="G211">
        <v>15</v>
      </c>
      <c r="H211" s="4">
        <v>101.89999999999999</v>
      </c>
      <c r="I211" s="2">
        <v>0.66666666666666696</v>
      </c>
      <c r="J211">
        <v>0</v>
      </c>
      <c r="K211">
        <v>0</v>
      </c>
      <c r="L211">
        <v>62</v>
      </c>
      <c r="M211" s="1" t="s">
        <v>1018</v>
      </c>
      <c r="N211" s="1" t="s">
        <v>1019</v>
      </c>
    </row>
    <row r="212" spans="1:14" x14ac:dyDescent="0.25">
      <c r="A212" s="1" t="s">
        <v>192</v>
      </c>
      <c r="B212" s="1" t="s">
        <v>1172</v>
      </c>
      <c r="C212" s="1" t="s">
        <v>37</v>
      </c>
      <c r="D212">
        <v>317197</v>
      </c>
      <c r="E212">
        <v>62682</v>
      </c>
      <c r="F212">
        <v>34892</v>
      </c>
      <c r="G212">
        <v>15</v>
      </c>
      <c r="H212" s="4">
        <v>93.7</v>
      </c>
      <c r="I212" s="2">
        <v>0.66666666666666696</v>
      </c>
      <c r="J212">
        <v>0</v>
      </c>
      <c r="K212">
        <v>0</v>
      </c>
      <c r="L212">
        <v>69</v>
      </c>
      <c r="M212" s="1" t="s">
        <v>1018</v>
      </c>
      <c r="N212" s="1" t="s">
        <v>1019</v>
      </c>
    </row>
    <row r="213" spans="1:14" x14ac:dyDescent="0.25">
      <c r="A213" s="1" t="s">
        <v>317</v>
      </c>
      <c r="B213" s="1" t="s">
        <v>1247</v>
      </c>
      <c r="C213" s="1" t="s">
        <v>27</v>
      </c>
      <c r="D213">
        <v>302404</v>
      </c>
      <c r="E213">
        <v>80151</v>
      </c>
      <c r="F213">
        <v>33264</v>
      </c>
      <c r="G213">
        <v>15</v>
      </c>
      <c r="H213" s="4">
        <v>99.899999999999991</v>
      </c>
      <c r="I213" s="2">
        <v>0.8</v>
      </c>
      <c r="J213">
        <v>3</v>
      </c>
      <c r="K213">
        <v>1</v>
      </c>
      <c r="L213">
        <v>76</v>
      </c>
      <c r="M213" s="1" t="s">
        <v>1413</v>
      </c>
      <c r="N213" s="1" t="s">
        <v>1017</v>
      </c>
    </row>
    <row r="214" spans="1:14" x14ac:dyDescent="0.25">
      <c r="A214" s="1" t="s">
        <v>193</v>
      </c>
      <c r="B214" s="1" t="s">
        <v>1173</v>
      </c>
      <c r="C214" s="1" t="s">
        <v>52</v>
      </c>
      <c r="D214">
        <v>797570</v>
      </c>
      <c r="E214">
        <v>62466</v>
      </c>
      <c r="F214">
        <v>87733</v>
      </c>
      <c r="G214">
        <v>15</v>
      </c>
      <c r="H214" s="4">
        <v>117</v>
      </c>
      <c r="I214" s="2">
        <v>0.73333333333333295</v>
      </c>
      <c r="J214">
        <v>4</v>
      </c>
      <c r="K214">
        <v>1</v>
      </c>
      <c r="L214">
        <v>85</v>
      </c>
      <c r="M214" s="1" t="s">
        <v>1014</v>
      </c>
      <c r="N214" s="1" t="s">
        <v>1020</v>
      </c>
    </row>
    <row r="215" spans="1:14" x14ac:dyDescent="0.25">
      <c r="A215" s="1" t="s">
        <v>194</v>
      </c>
      <c r="B215" s="1" t="s">
        <v>1174</v>
      </c>
      <c r="C215" s="1" t="s">
        <v>7</v>
      </c>
      <c r="D215">
        <v>391099</v>
      </c>
      <c r="E215">
        <v>61973</v>
      </c>
      <c r="F215">
        <v>43021</v>
      </c>
      <c r="G215">
        <v>15</v>
      </c>
      <c r="H215" s="4">
        <v>98.399999999999991</v>
      </c>
      <c r="I215" s="2">
        <v>0.73333333333333295</v>
      </c>
      <c r="J215">
        <v>0</v>
      </c>
      <c r="K215">
        <v>0</v>
      </c>
      <c r="L215">
        <v>74</v>
      </c>
      <c r="M215" s="1" t="s">
        <v>1021</v>
      </c>
      <c r="N215" s="1" t="s">
        <v>1017</v>
      </c>
    </row>
    <row r="216" spans="1:14" x14ac:dyDescent="0.25">
      <c r="A216" s="1" t="s">
        <v>195</v>
      </c>
      <c r="B216" s="1" t="s">
        <v>1175</v>
      </c>
      <c r="C216" s="1" t="s">
        <v>9</v>
      </c>
      <c r="D216">
        <v>235206</v>
      </c>
      <c r="E216">
        <v>633</v>
      </c>
      <c r="F216">
        <v>25873</v>
      </c>
      <c r="G216">
        <v>15</v>
      </c>
      <c r="H216" s="4">
        <v>101.60000000000002</v>
      </c>
      <c r="I216" s="2">
        <v>0.86666666666666703</v>
      </c>
      <c r="J216">
        <v>0</v>
      </c>
      <c r="K216">
        <v>0</v>
      </c>
      <c r="L216">
        <v>57</v>
      </c>
      <c r="M216" s="1" t="s">
        <v>1014</v>
      </c>
      <c r="N216" s="1" t="s">
        <v>1019</v>
      </c>
    </row>
    <row r="217" spans="1:14" x14ac:dyDescent="0.25">
      <c r="A217" s="1" t="s">
        <v>196</v>
      </c>
      <c r="B217" s="1" t="s">
        <v>1176</v>
      </c>
      <c r="C217" s="1" t="s">
        <v>1037</v>
      </c>
      <c r="D217">
        <v>716490</v>
      </c>
      <c r="E217">
        <v>29895</v>
      </c>
      <c r="F217">
        <v>78814</v>
      </c>
      <c r="G217">
        <v>15</v>
      </c>
      <c r="H217" s="4">
        <v>81.899999999999991</v>
      </c>
      <c r="I217" s="2">
        <v>0.6</v>
      </c>
      <c r="J217">
        <v>0</v>
      </c>
      <c r="K217">
        <v>0</v>
      </c>
      <c r="L217">
        <v>80</v>
      </c>
      <c r="M217" s="1" t="s">
        <v>1016</v>
      </c>
      <c r="N217" s="1" t="s">
        <v>1020</v>
      </c>
    </row>
    <row r="218" spans="1:14" x14ac:dyDescent="0.25">
      <c r="A218" s="1" t="s">
        <v>197</v>
      </c>
      <c r="B218" s="1" t="s">
        <v>1102</v>
      </c>
      <c r="C218" s="1" t="s">
        <v>1037</v>
      </c>
      <c r="D218">
        <v>651857</v>
      </c>
      <c r="E218">
        <v>20754</v>
      </c>
      <c r="F218">
        <v>71704</v>
      </c>
      <c r="G218">
        <v>15</v>
      </c>
      <c r="H218" s="4">
        <v>95.1</v>
      </c>
      <c r="I218" s="2">
        <v>0.46666666666666701</v>
      </c>
      <c r="J218">
        <v>0</v>
      </c>
      <c r="K218">
        <v>0</v>
      </c>
      <c r="L218">
        <v>83</v>
      </c>
      <c r="M218" s="1" t="s">
        <v>1018</v>
      </c>
      <c r="N218" s="1" t="s">
        <v>1020</v>
      </c>
    </row>
    <row r="219" spans="1:14" x14ac:dyDescent="0.25">
      <c r="A219" s="1" t="s">
        <v>198</v>
      </c>
      <c r="B219" s="1" t="s">
        <v>1083</v>
      </c>
      <c r="C219" s="1" t="s">
        <v>3</v>
      </c>
      <c r="D219">
        <v>571032</v>
      </c>
      <c r="E219">
        <v>71401</v>
      </c>
      <c r="G219">
        <v>15</v>
      </c>
      <c r="H219" s="4">
        <v>111.89999999999999</v>
      </c>
      <c r="I219" s="2">
        <v>0.86666666666666703</v>
      </c>
      <c r="J219">
        <v>0</v>
      </c>
      <c r="K219">
        <v>0</v>
      </c>
      <c r="L219">
        <v>98</v>
      </c>
      <c r="M219" s="1" t="s">
        <v>1413</v>
      </c>
      <c r="N219" s="1" t="s">
        <v>1015</v>
      </c>
    </row>
    <row r="220" spans="1:14" x14ac:dyDescent="0.25">
      <c r="A220" s="1" t="s">
        <v>199</v>
      </c>
      <c r="B220" s="1" t="s">
        <v>1177</v>
      </c>
      <c r="C220" s="1" t="s">
        <v>9</v>
      </c>
      <c r="D220">
        <v>738773</v>
      </c>
      <c r="E220">
        <v>9862</v>
      </c>
      <c r="F220">
        <v>81265</v>
      </c>
      <c r="G220">
        <v>15</v>
      </c>
      <c r="H220" s="4">
        <v>112.4</v>
      </c>
      <c r="I220" s="2">
        <v>0.8</v>
      </c>
      <c r="J220">
        <v>0</v>
      </c>
      <c r="K220">
        <v>0</v>
      </c>
      <c r="L220">
        <v>99</v>
      </c>
      <c r="M220" s="1" t="s">
        <v>1021</v>
      </c>
      <c r="N220" s="1" t="s">
        <v>1015</v>
      </c>
    </row>
    <row r="221" spans="1:14" x14ac:dyDescent="0.25">
      <c r="A221" s="1" t="s">
        <v>200</v>
      </c>
      <c r="B221" s="1" t="s">
        <v>1039</v>
      </c>
      <c r="C221" s="1" t="s">
        <v>12</v>
      </c>
      <c r="D221">
        <v>413168</v>
      </c>
      <c r="E221">
        <v>50006</v>
      </c>
      <c r="F221">
        <v>45448</v>
      </c>
      <c r="G221">
        <v>15</v>
      </c>
      <c r="H221" s="4">
        <v>86.8</v>
      </c>
      <c r="I221" s="2">
        <v>0.6</v>
      </c>
      <c r="J221">
        <v>13</v>
      </c>
      <c r="K221">
        <v>1</v>
      </c>
      <c r="L221">
        <v>91</v>
      </c>
      <c r="M221" s="1" t="s">
        <v>1021</v>
      </c>
      <c r="N221" s="1" t="s">
        <v>1015</v>
      </c>
    </row>
    <row r="222" spans="1:14" x14ac:dyDescent="0.25">
      <c r="A222" s="1" t="s">
        <v>201</v>
      </c>
      <c r="B222" s="1" t="s">
        <v>1178</v>
      </c>
      <c r="C222" s="1" t="s">
        <v>7</v>
      </c>
      <c r="D222">
        <v>255209</v>
      </c>
      <c r="E222">
        <v>32154</v>
      </c>
      <c r="F222">
        <v>28073</v>
      </c>
      <c r="G222">
        <v>15</v>
      </c>
      <c r="H222" s="4">
        <v>106.6</v>
      </c>
      <c r="I222" s="2">
        <v>0.8</v>
      </c>
      <c r="J222">
        <v>13</v>
      </c>
      <c r="K222">
        <v>1</v>
      </c>
      <c r="L222">
        <v>84</v>
      </c>
      <c r="M222" s="1" t="s">
        <v>1413</v>
      </c>
      <c r="N222" s="1" t="s">
        <v>1020</v>
      </c>
    </row>
    <row r="223" spans="1:14" x14ac:dyDescent="0.25">
      <c r="A223" s="1" t="s">
        <v>344</v>
      </c>
      <c r="B223" s="1" t="s">
        <v>1261</v>
      </c>
      <c r="C223" s="1" t="s">
        <v>1037</v>
      </c>
      <c r="D223">
        <v>283809</v>
      </c>
      <c r="E223">
        <v>48625</v>
      </c>
      <c r="F223">
        <v>31219</v>
      </c>
      <c r="G223">
        <v>15</v>
      </c>
      <c r="H223" s="4">
        <v>103.20000000000002</v>
      </c>
      <c r="I223" s="2">
        <v>0.8</v>
      </c>
      <c r="J223">
        <v>7</v>
      </c>
      <c r="K223">
        <v>1</v>
      </c>
      <c r="L223">
        <v>99</v>
      </c>
      <c r="M223" s="1" t="s">
        <v>1413</v>
      </c>
      <c r="N223" s="1" t="s">
        <v>1015</v>
      </c>
    </row>
    <row r="224" spans="1:14" x14ac:dyDescent="0.25">
      <c r="A224" s="1" t="s">
        <v>202</v>
      </c>
      <c r="B224" s="1" t="s">
        <v>1179</v>
      </c>
      <c r="C224" s="1" t="s">
        <v>7</v>
      </c>
      <c r="D224">
        <v>640638</v>
      </c>
      <c r="E224">
        <v>44230</v>
      </c>
      <c r="G224">
        <v>15</v>
      </c>
      <c r="H224" s="4">
        <v>106.1</v>
      </c>
      <c r="I224" s="2">
        <v>0.86666666666666703</v>
      </c>
      <c r="J224">
        <v>0</v>
      </c>
      <c r="K224">
        <v>0</v>
      </c>
      <c r="L224">
        <v>88</v>
      </c>
      <c r="M224" s="1" t="s">
        <v>1413</v>
      </c>
      <c r="N224" s="1" t="s">
        <v>1020</v>
      </c>
    </row>
    <row r="225" spans="1:14" x14ac:dyDescent="0.25">
      <c r="A225" s="1" t="s">
        <v>203</v>
      </c>
      <c r="B225" s="1" t="s">
        <v>1180</v>
      </c>
      <c r="C225" s="1" t="s">
        <v>1037</v>
      </c>
      <c r="D225">
        <v>754721</v>
      </c>
      <c r="E225">
        <v>13847</v>
      </c>
      <c r="F225">
        <v>83019</v>
      </c>
      <c r="G225">
        <v>15</v>
      </c>
      <c r="H225" s="4">
        <v>113.09999999999998</v>
      </c>
      <c r="I225" s="2">
        <v>0.86666666666666703</v>
      </c>
      <c r="J225">
        <v>0</v>
      </c>
      <c r="K225">
        <v>0</v>
      </c>
      <c r="L225">
        <v>66</v>
      </c>
      <c r="M225" s="1" t="s">
        <v>1014</v>
      </c>
      <c r="N225" s="1" t="s">
        <v>1019</v>
      </c>
    </row>
    <row r="226" spans="1:14" x14ac:dyDescent="0.25">
      <c r="A226" s="1" t="s">
        <v>204</v>
      </c>
      <c r="B226" s="1" t="s">
        <v>1181</v>
      </c>
      <c r="C226" s="1" t="s">
        <v>52</v>
      </c>
      <c r="D226">
        <v>802840</v>
      </c>
      <c r="E226">
        <v>24101</v>
      </c>
      <c r="F226">
        <v>88312</v>
      </c>
      <c r="G226">
        <v>15</v>
      </c>
      <c r="H226" s="4">
        <v>103.6</v>
      </c>
      <c r="I226" s="2">
        <v>0.6</v>
      </c>
      <c r="J226">
        <v>0</v>
      </c>
      <c r="K226">
        <v>0</v>
      </c>
      <c r="L226">
        <v>78</v>
      </c>
      <c r="M226" s="1" t="s">
        <v>1021</v>
      </c>
      <c r="N226" s="1" t="s">
        <v>1017</v>
      </c>
    </row>
    <row r="227" spans="1:14" x14ac:dyDescent="0.25">
      <c r="A227" s="1" t="s">
        <v>205</v>
      </c>
      <c r="B227" s="1" t="s">
        <v>1182</v>
      </c>
      <c r="C227" s="1" t="s">
        <v>37</v>
      </c>
      <c r="D227">
        <v>282075</v>
      </c>
      <c r="E227">
        <v>66998</v>
      </c>
      <c r="F227">
        <v>31028</v>
      </c>
      <c r="G227">
        <v>15</v>
      </c>
      <c r="H227" s="4">
        <v>102.80000000000001</v>
      </c>
      <c r="I227" s="2">
        <v>0.66666666666666696</v>
      </c>
      <c r="J227">
        <v>0</v>
      </c>
      <c r="K227">
        <v>0</v>
      </c>
      <c r="L227">
        <v>69</v>
      </c>
      <c r="M227" s="1" t="s">
        <v>1413</v>
      </c>
      <c r="N227" s="1" t="s">
        <v>1019</v>
      </c>
    </row>
    <row r="228" spans="1:14" x14ac:dyDescent="0.25">
      <c r="A228" s="1" t="s">
        <v>206</v>
      </c>
      <c r="B228" s="1" t="s">
        <v>1183</v>
      </c>
      <c r="C228" s="1" t="s">
        <v>23</v>
      </c>
      <c r="D228">
        <v>500905</v>
      </c>
      <c r="E228">
        <v>13646</v>
      </c>
      <c r="F228">
        <v>55100</v>
      </c>
      <c r="G228">
        <v>15</v>
      </c>
      <c r="H228" s="4">
        <v>96.999999999999986</v>
      </c>
      <c r="I228" s="2">
        <v>0.8</v>
      </c>
      <c r="J228">
        <v>0</v>
      </c>
      <c r="K228">
        <v>0</v>
      </c>
      <c r="L228">
        <v>75</v>
      </c>
      <c r="M228" s="1" t="s">
        <v>1413</v>
      </c>
      <c r="N228" s="1" t="s">
        <v>1017</v>
      </c>
    </row>
    <row r="229" spans="1:14" x14ac:dyDescent="0.25">
      <c r="A229" s="1" t="s">
        <v>207</v>
      </c>
      <c r="B229" s="1" t="s">
        <v>1156</v>
      </c>
      <c r="C229" s="1" t="s">
        <v>52</v>
      </c>
      <c r="D229">
        <v>427316</v>
      </c>
      <c r="E229">
        <v>28052</v>
      </c>
      <c r="F229">
        <v>47005</v>
      </c>
      <c r="G229">
        <v>15</v>
      </c>
      <c r="H229" s="4">
        <v>97.200000000000017</v>
      </c>
      <c r="I229" s="2">
        <v>0.73333333333333295</v>
      </c>
      <c r="J229">
        <v>0</v>
      </c>
      <c r="K229">
        <v>0</v>
      </c>
      <c r="L229">
        <v>79</v>
      </c>
      <c r="M229" s="1" t="s">
        <v>1413</v>
      </c>
      <c r="N229" s="1" t="s">
        <v>1017</v>
      </c>
    </row>
    <row r="230" spans="1:14" x14ac:dyDescent="0.25">
      <c r="A230" s="1" t="s">
        <v>224</v>
      </c>
      <c r="B230" s="1" t="s">
        <v>1174</v>
      </c>
      <c r="C230" s="1" t="s">
        <v>27</v>
      </c>
      <c r="D230">
        <v>370416</v>
      </c>
      <c r="E230">
        <v>32168</v>
      </c>
      <c r="F230">
        <v>40746</v>
      </c>
      <c r="G230">
        <v>15</v>
      </c>
      <c r="H230" s="4">
        <v>104.3</v>
      </c>
      <c r="I230" s="2">
        <v>0.8</v>
      </c>
      <c r="J230">
        <v>5</v>
      </c>
      <c r="K230">
        <v>1</v>
      </c>
      <c r="L230">
        <v>63</v>
      </c>
      <c r="M230" s="1" t="s">
        <v>1014</v>
      </c>
      <c r="N230" s="1" t="s">
        <v>1019</v>
      </c>
    </row>
    <row r="231" spans="1:14" x14ac:dyDescent="0.25">
      <c r="A231" s="1" t="s">
        <v>208</v>
      </c>
      <c r="B231" s="1" t="s">
        <v>1184</v>
      </c>
      <c r="C231" s="1" t="s">
        <v>23</v>
      </c>
      <c r="D231">
        <v>570423</v>
      </c>
      <c r="E231">
        <v>85103</v>
      </c>
      <c r="F231">
        <v>62747</v>
      </c>
      <c r="G231">
        <v>15</v>
      </c>
      <c r="H231" s="4">
        <v>117.19999999999999</v>
      </c>
      <c r="I231" s="2">
        <v>0.93333333333333302</v>
      </c>
      <c r="J231">
        <v>0</v>
      </c>
      <c r="K231">
        <v>0</v>
      </c>
      <c r="L231">
        <v>78</v>
      </c>
      <c r="M231" s="1" t="s">
        <v>1413</v>
      </c>
      <c r="N231" s="1" t="s">
        <v>1017</v>
      </c>
    </row>
    <row r="232" spans="1:14" x14ac:dyDescent="0.25">
      <c r="A232" s="1" t="s">
        <v>209</v>
      </c>
      <c r="B232" s="1" t="s">
        <v>1185</v>
      </c>
      <c r="C232" s="1" t="s">
        <v>5</v>
      </c>
      <c r="D232">
        <v>329247</v>
      </c>
      <c r="E232">
        <v>39178</v>
      </c>
      <c r="F232">
        <v>36217</v>
      </c>
      <c r="G232">
        <v>15</v>
      </c>
      <c r="H232" s="4">
        <v>118.70000000000002</v>
      </c>
      <c r="I232" s="2">
        <v>0.86666666666666703</v>
      </c>
      <c r="J232">
        <v>12</v>
      </c>
      <c r="K232">
        <v>1</v>
      </c>
      <c r="L232">
        <v>82</v>
      </c>
      <c r="M232" s="1" t="s">
        <v>1014</v>
      </c>
      <c r="N232" s="1" t="s">
        <v>1020</v>
      </c>
    </row>
    <row r="233" spans="1:14" x14ac:dyDescent="0.25">
      <c r="A233" s="1" t="s">
        <v>210</v>
      </c>
      <c r="B233" s="1" t="s">
        <v>1186</v>
      </c>
      <c r="C233" s="1" t="s">
        <v>9</v>
      </c>
      <c r="D233">
        <v>512166</v>
      </c>
      <c r="E233">
        <v>16148</v>
      </c>
      <c r="F233">
        <v>56338</v>
      </c>
      <c r="G233">
        <v>15</v>
      </c>
      <c r="H233" s="4">
        <v>101.8</v>
      </c>
      <c r="I233" s="2">
        <v>0.8</v>
      </c>
      <c r="J233">
        <v>0</v>
      </c>
      <c r="K233">
        <v>0</v>
      </c>
      <c r="L233">
        <v>99</v>
      </c>
      <c r="M233" s="1" t="s">
        <v>1016</v>
      </c>
      <c r="N233" s="1" t="s">
        <v>1015</v>
      </c>
    </row>
    <row r="234" spans="1:14" x14ac:dyDescent="0.25">
      <c r="A234" s="1" t="s">
        <v>211</v>
      </c>
      <c r="B234" s="1" t="s">
        <v>1187</v>
      </c>
      <c r="C234" s="1" t="s">
        <v>52</v>
      </c>
      <c r="D234">
        <v>408980</v>
      </c>
      <c r="E234">
        <v>74269</v>
      </c>
      <c r="F234">
        <v>44988</v>
      </c>
      <c r="G234">
        <v>15</v>
      </c>
      <c r="H234" s="4">
        <v>112.3</v>
      </c>
      <c r="I234" s="2">
        <v>0.86666666666666703</v>
      </c>
      <c r="J234">
        <v>7</v>
      </c>
      <c r="K234">
        <v>1</v>
      </c>
      <c r="L234">
        <v>70</v>
      </c>
      <c r="M234" s="1" t="s">
        <v>1014</v>
      </c>
      <c r="N234" s="1" t="s">
        <v>1017</v>
      </c>
    </row>
    <row r="235" spans="1:14" x14ac:dyDescent="0.25">
      <c r="A235" s="1" t="s">
        <v>337</v>
      </c>
      <c r="B235" s="1" t="s">
        <v>1257</v>
      </c>
      <c r="C235" s="1" t="s">
        <v>3</v>
      </c>
      <c r="D235">
        <v>605266</v>
      </c>
      <c r="E235">
        <v>72986</v>
      </c>
      <c r="F235">
        <v>66579</v>
      </c>
      <c r="G235">
        <v>15</v>
      </c>
      <c r="H235" s="4">
        <v>103.7</v>
      </c>
      <c r="I235" s="2">
        <v>0.8</v>
      </c>
      <c r="J235">
        <v>3</v>
      </c>
      <c r="K235">
        <v>1</v>
      </c>
      <c r="L235">
        <v>55</v>
      </c>
      <c r="M235" s="1" t="s">
        <v>1016</v>
      </c>
      <c r="N235" s="1" t="s">
        <v>1019</v>
      </c>
    </row>
    <row r="236" spans="1:14" x14ac:dyDescent="0.25">
      <c r="A236" s="1" t="s">
        <v>214</v>
      </c>
      <c r="B236" s="1" t="s">
        <v>1045</v>
      </c>
      <c r="C236" s="1" t="s">
        <v>3</v>
      </c>
      <c r="D236">
        <v>794983</v>
      </c>
      <c r="E236">
        <v>70523</v>
      </c>
      <c r="F236">
        <v>87448</v>
      </c>
      <c r="G236">
        <v>14</v>
      </c>
      <c r="H236" s="4">
        <v>96.300000000000011</v>
      </c>
      <c r="I236" s="2">
        <v>0.85714285714285698</v>
      </c>
      <c r="J236">
        <v>0</v>
      </c>
      <c r="K236">
        <v>0</v>
      </c>
      <c r="L236">
        <v>55</v>
      </c>
      <c r="M236" s="1" t="s">
        <v>1018</v>
      </c>
      <c r="N236" s="1" t="s">
        <v>1019</v>
      </c>
    </row>
    <row r="237" spans="1:14" x14ac:dyDescent="0.25">
      <c r="A237" s="1" t="s">
        <v>215</v>
      </c>
      <c r="B237" s="1" t="s">
        <v>1190</v>
      </c>
      <c r="C237" s="1" t="s">
        <v>23</v>
      </c>
      <c r="D237">
        <v>403918</v>
      </c>
      <c r="E237">
        <v>26674</v>
      </c>
      <c r="F237">
        <v>44431</v>
      </c>
      <c r="G237">
        <v>15</v>
      </c>
      <c r="H237" s="4">
        <v>94</v>
      </c>
      <c r="I237" s="2">
        <v>0.8</v>
      </c>
      <c r="J237">
        <v>0</v>
      </c>
      <c r="K237">
        <v>0</v>
      </c>
      <c r="L237">
        <v>99</v>
      </c>
      <c r="M237" s="1" t="s">
        <v>1021</v>
      </c>
      <c r="N237" s="1" t="s">
        <v>1015</v>
      </c>
    </row>
    <row r="238" spans="1:14" x14ac:dyDescent="0.25">
      <c r="A238" s="1" t="s">
        <v>238</v>
      </c>
      <c r="B238" s="1" t="s">
        <v>1131</v>
      </c>
      <c r="C238" s="1" t="s">
        <v>23</v>
      </c>
      <c r="D238">
        <v>611870</v>
      </c>
      <c r="E238">
        <v>47326</v>
      </c>
      <c r="F238">
        <v>67306</v>
      </c>
      <c r="G238">
        <v>15</v>
      </c>
      <c r="H238" s="4">
        <v>99.800000000000026</v>
      </c>
      <c r="I238" s="2">
        <v>0.73333333333333295</v>
      </c>
      <c r="J238">
        <v>24</v>
      </c>
      <c r="K238">
        <v>3</v>
      </c>
      <c r="L238">
        <v>58</v>
      </c>
      <c r="M238" s="1" t="s">
        <v>1413</v>
      </c>
      <c r="N238" s="1" t="s">
        <v>1019</v>
      </c>
    </row>
    <row r="239" spans="1:14" x14ac:dyDescent="0.25">
      <c r="A239" s="1" t="s">
        <v>216</v>
      </c>
      <c r="B239" s="1" t="s">
        <v>1158</v>
      </c>
      <c r="C239" s="1" t="s">
        <v>9</v>
      </c>
      <c r="D239">
        <v>774271</v>
      </c>
      <c r="E239">
        <v>74159</v>
      </c>
      <c r="F239">
        <v>85170</v>
      </c>
      <c r="G239">
        <v>15</v>
      </c>
      <c r="H239" s="4">
        <v>112.39999999999999</v>
      </c>
      <c r="I239" s="2">
        <v>0.8</v>
      </c>
      <c r="J239">
        <v>10</v>
      </c>
      <c r="K239">
        <v>1</v>
      </c>
      <c r="L239">
        <v>64</v>
      </c>
      <c r="M239" s="1" t="s">
        <v>1413</v>
      </c>
      <c r="N239" s="1" t="s">
        <v>1019</v>
      </c>
    </row>
    <row r="240" spans="1:14" x14ac:dyDescent="0.25">
      <c r="A240" s="1" t="s">
        <v>217</v>
      </c>
      <c r="B240" s="1" t="s">
        <v>1187</v>
      </c>
      <c r="C240" s="1" t="s">
        <v>37</v>
      </c>
      <c r="D240">
        <v>726471</v>
      </c>
      <c r="E240">
        <v>84942</v>
      </c>
      <c r="F240">
        <v>79912</v>
      </c>
      <c r="G240">
        <v>15</v>
      </c>
      <c r="H240" s="4">
        <v>78.999999999999986</v>
      </c>
      <c r="I240" s="2">
        <v>0.53333333333333299</v>
      </c>
      <c r="J240">
        <v>0</v>
      </c>
      <c r="K240">
        <v>0</v>
      </c>
      <c r="L240">
        <v>75</v>
      </c>
      <c r="M240" s="1" t="s">
        <v>1413</v>
      </c>
      <c r="N240" s="1" t="s">
        <v>1017</v>
      </c>
    </row>
    <row r="241" spans="1:14" x14ac:dyDescent="0.25">
      <c r="A241" s="1" t="s">
        <v>284</v>
      </c>
      <c r="B241" s="1" t="s">
        <v>1230</v>
      </c>
      <c r="C241" s="1" t="s">
        <v>7</v>
      </c>
      <c r="D241">
        <v>248727</v>
      </c>
      <c r="E241">
        <v>5286</v>
      </c>
      <c r="G241">
        <v>15</v>
      </c>
      <c r="H241" s="4">
        <v>102.8</v>
      </c>
      <c r="I241" s="2">
        <v>0.73333333333333295</v>
      </c>
      <c r="J241">
        <v>7</v>
      </c>
      <c r="K241">
        <v>1</v>
      </c>
      <c r="L241">
        <v>57</v>
      </c>
      <c r="M241" s="1" t="s">
        <v>1018</v>
      </c>
      <c r="N241" s="1" t="s">
        <v>1019</v>
      </c>
    </row>
    <row r="242" spans="1:14" x14ac:dyDescent="0.25">
      <c r="A242" s="1" t="s">
        <v>218</v>
      </c>
      <c r="B242" s="1" t="s">
        <v>1191</v>
      </c>
      <c r="C242" s="1" t="s">
        <v>3</v>
      </c>
      <c r="D242">
        <v>436488</v>
      </c>
      <c r="E242">
        <v>13167</v>
      </c>
      <c r="F242">
        <v>48014</v>
      </c>
      <c r="G242">
        <v>15</v>
      </c>
      <c r="H242" s="4">
        <v>105.4</v>
      </c>
      <c r="I242" s="2">
        <v>0.8</v>
      </c>
      <c r="J242">
        <v>5</v>
      </c>
      <c r="K242">
        <v>1</v>
      </c>
      <c r="L242">
        <v>98</v>
      </c>
      <c r="M242" s="1" t="s">
        <v>1413</v>
      </c>
      <c r="N242" s="1" t="s">
        <v>1015</v>
      </c>
    </row>
    <row r="243" spans="1:14" x14ac:dyDescent="0.25">
      <c r="A243" s="1" t="s">
        <v>220</v>
      </c>
      <c r="B243" s="1" t="s">
        <v>1193</v>
      </c>
      <c r="C243" s="1" t="s">
        <v>27</v>
      </c>
      <c r="D243">
        <v>764139</v>
      </c>
      <c r="E243">
        <v>40844</v>
      </c>
      <c r="F243">
        <v>84055</v>
      </c>
      <c r="G243">
        <v>15</v>
      </c>
      <c r="H243" s="4">
        <v>108.3</v>
      </c>
      <c r="I243" s="2">
        <v>0.73333333333333295</v>
      </c>
      <c r="J243">
        <v>0</v>
      </c>
      <c r="K243">
        <v>0</v>
      </c>
      <c r="L243">
        <v>97</v>
      </c>
      <c r="M243" s="1" t="s">
        <v>1021</v>
      </c>
      <c r="N243" s="1" t="s">
        <v>1015</v>
      </c>
    </row>
    <row r="244" spans="1:14" x14ac:dyDescent="0.25">
      <c r="A244" s="1" t="s">
        <v>226</v>
      </c>
      <c r="B244" s="1" t="s">
        <v>1116</v>
      </c>
      <c r="C244" s="1" t="s">
        <v>23</v>
      </c>
      <c r="D244">
        <v>635099</v>
      </c>
      <c r="E244">
        <v>41321</v>
      </c>
      <c r="F244">
        <v>69861</v>
      </c>
      <c r="G244">
        <v>15</v>
      </c>
      <c r="H244" s="4">
        <v>110.5</v>
      </c>
      <c r="I244" s="2">
        <v>0.86666666666666703</v>
      </c>
      <c r="J244">
        <v>7</v>
      </c>
      <c r="K244">
        <v>2</v>
      </c>
      <c r="L244">
        <v>73</v>
      </c>
      <c r="M244" s="1" t="s">
        <v>1018</v>
      </c>
      <c r="N244" s="1" t="s">
        <v>1017</v>
      </c>
    </row>
    <row r="245" spans="1:14" x14ac:dyDescent="0.25">
      <c r="A245" s="1" t="s">
        <v>222</v>
      </c>
      <c r="B245" s="1" t="s">
        <v>1149</v>
      </c>
      <c r="C245" s="1" t="s">
        <v>9</v>
      </c>
      <c r="D245">
        <v>496090</v>
      </c>
      <c r="E245">
        <v>36764</v>
      </c>
      <c r="F245">
        <v>54570</v>
      </c>
      <c r="G245">
        <v>15</v>
      </c>
      <c r="H245" s="4">
        <v>112.10000000000001</v>
      </c>
      <c r="I245" s="2">
        <v>0.8</v>
      </c>
      <c r="J245">
        <v>0</v>
      </c>
      <c r="K245">
        <v>0</v>
      </c>
      <c r="L245">
        <v>86</v>
      </c>
      <c r="M245" s="1" t="s">
        <v>1021</v>
      </c>
      <c r="N245" s="1" t="s">
        <v>1020</v>
      </c>
    </row>
    <row r="246" spans="1:14" x14ac:dyDescent="0.25">
      <c r="A246" s="1" t="s">
        <v>223</v>
      </c>
      <c r="B246" s="1" t="s">
        <v>1029</v>
      </c>
      <c r="C246" s="1" t="s">
        <v>1117</v>
      </c>
      <c r="D246">
        <v>714918</v>
      </c>
      <c r="E246">
        <v>6644</v>
      </c>
      <c r="F246">
        <v>78641</v>
      </c>
      <c r="G246">
        <v>15</v>
      </c>
      <c r="H246" s="4">
        <v>114.10000000000001</v>
      </c>
      <c r="I246" s="2">
        <v>0.86666666666666703</v>
      </c>
      <c r="J246">
        <v>0</v>
      </c>
      <c r="K246">
        <v>0</v>
      </c>
      <c r="L246">
        <v>97</v>
      </c>
      <c r="M246" s="1" t="s">
        <v>1016</v>
      </c>
      <c r="N246" s="1" t="s">
        <v>1015</v>
      </c>
    </row>
    <row r="247" spans="1:14" x14ac:dyDescent="0.25">
      <c r="A247" s="1" t="s">
        <v>225</v>
      </c>
      <c r="B247" s="1" t="s">
        <v>1105</v>
      </c>
      <c r="C247" s="1" t="s">
        <v>23</v>
      </c>
      <c r="D247">
        <v>537160</v>
      </c>
      <c r="E247">
        <v>1250</v>
      </c>
      <c r="F247">
        <v>59088</v>
      </c>
      <c r="G247">
        <v>15</v>
      </c>
      <c r="H247" s="4">
        <v>103.7</v>
      </c>
      <c r="I247" s="2">
        <v>0.8</v>
      </c>
      <c r="J247">
        <v>0</v>
      </c>
      <c r="K247">
        <v>0</v>
      </c>
      <c r="L247">
        <v>87</v>
      </c>
      <c r="M247" s="1" t="s">
        <v>1014</v>
      </c>
      <c r="N247" s="1" t="s">
        <v>1020</v>
      </c>
    </row>
    <row r="248" spans="1:14" x14ac:dyDescent="0.25">
      <c r="A248" s="1" t="s">
        <v>256</v>
      </c>
      <c r="B248" s="1" t="s">
        <v>1127</v>
      </c>
      <c r="C248" s="1" t="s">
        <v>1037</v>
      </c>
      <c r="D248">
        <v>433878</v>
      </c>
      <c r="E248">
        <v>19203</v>
      </c>
      <c r="F248">
        <v>47727</v>
      </c>
      <c r="G248">
        <v>15</v>
      </c>
      <c r="H248" s="4">
        <v>97.199999999999989</v>
      </c>
      <c r="I248" s="2">
        <v>0.66666666666666696</v>
      </c>
      <c r="J248">
        <v>7</v>
      </c>
      <c r="K248">
        <v>1</v>
      </c>
      <c r="L248">
        <v>94</v>
      </c>
      <c r="M248" s="1" t="s">
        <v>1014</v>
      </c>
      <c r="N248" s="1" t="s">
        <v>1015</v>
      </c>
    </row>
    <row r="249" spans="1:14" x14ac:dyDescent="0.25">
      <c r="A249" s="1" t="s">
        <v>227</v>
      </c>
      <c r="B249" s="1" t="s">
        <v>1195</v>
      </c>
      <c r="C249" s="1" t="s">
        <v>1117</v>
      </c>
      <c r="D249">
        <v>232889</v>
      </c>
      <c r="E249">
        <v>73939</v>
      </c>
      <c r="F249">
        <v>25618</v>
      </c>
      <c r="G249">
        <v>15</v>
      </c>
      <c r="H249" s="4">
        <v>112.79999999999998</v>
      </c>
      <c r="I249" s="2">
        <v>0.66666666666666696</v>
      </c>
      <c r="J249">
        <v>9</v>
      </c>
      <c r="K249">
        <v>1</v>
      </c>
      <c r="L249">
        <v>87</v>
      </c>
      <c r="M249" s="1" t="s">
        <v>1016</v>
      </c>
      <c r="N249" s="1" t="s">
        <v>1020</v>
      </c>
    </row>
    <row r="250" spans="1:14" x14ac:dyDescent="0.25">
      <c r="A250" s="1" t="s">
        <v>229</v>
      </c>
      <c r="B250" s="1" t="s">
        <v>1197</v>
      </c>
      <c r="C250" s="1" t="s">
        <v>37</v>
      </c>
      <c r="D250">
        <v>542385</v>
      </c>
      <c r="E250">
        <v>21801</v>
      </c>
      <c r="F250">
        <v>59662</v>
      </c>
      <c r="G250">
        <v>14</v>
      </c>
      <c r="H250" s="4">
        <v>103.1</v>
      </c>
      <c r="I250" s="2">
        <v>0.78571428571428603</v>
      </c>
      <c r="J250">
        <v>0</v>
      </c>
      <c r="K250">
        <v>0</v>
      </c>
      <c r="L250">
        <v>78</v>
      </c>
      <c r="M250" s="1" t="s">
        <v>1016</v>
      </c>
      <c r="N250" s="1" t="s">
        <v>1017</v>
      </c>
    </row>
    <row r="251" spans="1:14" x14ac:dyDescent="0.25">
      <c r="A251" s="1" t="s">
        <v>230</v>
      </c>
      <c r="B251" s="1" t="s">
        <v>1198</v>
      </c>
      <c r="C251" s="1" t="s">
        <v>27</v>
      </c>
      <c r="D251">
        <v>633563</v>
      </c>
      <c r="E251">
        <v>16160</v>
      </c>
      <c r="F251">
        <v>69692</v>
      </c>
      <c r="G251">
        <v>15</v>
      </c>
      <c r="H251" s="4">
        <v>99.5</v>
      </c>
      <c r="I251" s="2">
        <v>0.4</v>
      </c>
      <c r="J251">
        <v>0</v>
      </c>
      <c r="K251">
        <v>0</v>
      </c>
      <c r="L251">
        <v>60</v>
      </c>
      <c r="M251" s="1" t="s">
        <v>1413</v>
      </c>
      <c r="N251" s="1" t="s">
        <v>1019</v>
      </c>
    </row>
    <row r="252" spans="1:14" x14ac:dyDescent="0.25">
      <c r="A252" s="1" t="s">
        <v>231</v>
      </c>
      <c r="B252" s="1" t="s">
        <v>1199</v>
      </c>
      <c r="C252" s="1" t="s">
        <v>27</v>
      </c>
      <c r="D252">
        <v>280579</v>
      </c>
      <c r="E252">
        <v>55660</v>
      </c>
      <c r="F252">
        <v>30864</v>
      </c>
      <c r="G252">
        <v>15</v>
      </c>
      <c r="H252" s="4">
        <v>87.399999999999991</v>
      </c>
      <c r="I252" s="2">
        <v>0.73333333333333295</v>
      </c>
      <c r="J252">
        <v>0</v>
      </c>
      <c r="K252">
        <v>0</v>
      </c>
      <c r="L252">
        <v>64</v>
      </c>
      <c r="M252" s="1" t="s">
        <v>1016</v>
      </c>
      <c r="N252" s="1" t="s">
        <v>1019</v>
      </c>
    </row>
    <row r="253" spans="1:14" x14ac:dyDescent="0.25">
      <c r="A253" s="1" t="s">
        <v>232</v>
      </c>
      <c r="B253" s="1" t="s">
        <v>1200</v>
      </c>
      <c r="C253" s="1" t="s">
        <v>12</v>
      </c>
      <c r="D253">
        <v>223454</v>
      </c>
      <c r="E253">
        <v>34414</v>
      </c>
      <c r="F253">
        <v>24580</v>
      </c>
      <c r="G253">
        <v>15</v>
      </c>
      <c r="H253" s="4">
        <v>103.49999999999999</v>
      </c>
      <c r="I253" s="2">
        <v>0.86666666666666703</v>
      </c>
      <c r="J253">
        <v>11</v>
      </c>
      <c r="K253">
        <v>1</v>
      </c>
      <c r="L253">
        <v>94</v>
      </c>
      <c r="M253" s="1" t="s">
        <v>1413</v>
      </c>
      <c r="N253" s="1" t="s">
        <v>1015</v>
      </c>
    </row>
    <row r="254" spans="1:14" x14ac:dyDescent="0.25">
      <c r="A254" s="1" t="s">
        <v>233</v>
      </c>
      <c r="B254" s="1" t="s">
        <v>1054</v>
      </c>
      <c r="C254" s="1" t="s">
        <v>12</v>
      </c>
      <c r="D254">
        <v>393534</v>
      </c>
      <c r="E254">
        <v>75858</v>
      </c>
      <c r="F254">
        <v>43289</v>
      </c>
      <c r="G254">
        <v>15</v>
      </c>
      <c r="H254" s="4">
        <v>92.199999999999989</v>
      </c>
      <c r="I254" s="2">
        <v>0.66666666666666696</v>
      </c>
      <c r="J254">
        <v>0</v>
      </c>
      <c r="K254">
        <v>0</v>
      </c>
      <c r="L254">
        <v>80</v>
      </c>
      <c r="M254" s="1" t="s">
        <v>1021</v>
      </c>
      <c r="N254" s="1" t="s">
        <v>1020</v>
      </c>
    </row>
    <row r="255" spans="1:14" x14ac:dyDescent="0.25">
      <c r="A255" s="1" t="s">
        <v>235</v>
      </c>
      <c r="B255" s="1" t="s">
        <v>1201</v>
      </c>
      <c r="C255" s="1" t="s">
        <v>1037</v>
      </c>
      <c r="D255">
        <v>494739</v>
      </c>
      <c r="E255">
        <v>30588</v>
      </c>
      <c r="F255">
        <v>54421</v>
      </c>
      <c r="G255">
        <v>15</v>
      </c>
      <c r="H255" s="4">
        <v>112.99999999999999</v>
      </c>
      <c r="I255" s="2">
        <v>0.8</v>
      </c>
      <c r="J255">
        <v>0</v>
      </c>
      <c r="K255">
        <v>0</v>
      </c>
      <c r="L255">
        <v>79</v>
      </c>
      <c r="M255" s="1" t="s">
        <v>1413</v>
      </c>
      <c r="N255" s="1" t="s">
        <v>1017</v>
      </c>
    </row>
    <row r="256" spans="1:14" x14ac:dyDescent="0.25">
      <c r="A256" s="1" t="s">
        <v>265</v>
      </c>
      <c r="B256" s="1" t="s">
        <v>1221</v>
      </c>
      <c r="C256" s="1" t="s">
        <v>12</v>
      </c>
      <c r="D256">
        <v>574756</v>
      </c>
      <c r="E256">
        <v>57297</v>
      </c>
      <c r="F256">
        <v>63223</v>
      </c>
      <c r="G256">
        <v>15</v>
      </c>
      <c r="H256" s="4">
        <v>97.4</v>
      </c>
      <c r="I256" s="2">
        <v>0.66666666666666696</v>
      </c>
      <c r="J256">
        <v>12</v>
      </c>
      <c r="K256">
        <v>1</v>
      </c>
      <c r="L256">
        <v>71</v>
      </c>
      <c r="M256" s="1" t="s">
        <v>1016</v>
      </c>
      <c r="N256" s="1" t="s">
        <v>1017</v>
      </c>
    </row>
    <row r="257" spans="1:14" x14ac:dyDescent="0.25">
      <c r="A257" s="1" t="s">
        <v>236</v>
      </c>
      <c r="B257" s="1" t="s">
        <v>1111</v>
      </c>
      <c r="C257" s="1" t="s">
        <v>7</v>
      </c>
      <c r="D257">
        <v>795030</v>
      </c>
      <c r="E257">
        <v>11519</v>
      </c>
      <c r="F257">
        <v>87453</v>
      </c>
      <c r="G257">
        <v>15</v>
      </c>
      <c r="H257" s="4">
        <v>103.29999999999998</v>
      </c>
      <c r="I257" s="2">
        <v>0.73333333333333295</v>
      </c>
      <c r="J257">
        <v>0</v>
      </c>
      <c r="K257">
        <v>0</v>
      </c>
      <c r="L257">
        <v>76</v>
      </c>
      <c r="M257" s="1" t="s">
        <v>1413</v>
      </c>
      <c r="N257" s="1" t="s">
        <v>1017</v>
      </c>
    </row>
    <row r="258" spans="1:14" x14ac:dyDescent="0.25">
      <c r="A258" s="1" t="s">
        <v>239</v>
      </c>
      <c r="B258" s="1" t="s">
        <v>1031</v>
      </c>
      <c r="C258" s="1" t="s">
        <v>1037</v>
      </c>
      <c r="D258">
        <v>649206</v>
      </c>
      <c r="E258">
        <v>86533</v>
      </c>
      <c r="F258">
        <v>71413</v>
      </c>
      <c r="G258">
        <v>15</v>
      </c>
      <c r="H258" s="4">
        <v>123.69999999999997</v>
      </c>
      <c r="I258" s="2">
        <v>0.93333333333333302</v>
      </c>
      <c r="J258">
        <v>0</v>
      </c>
      <c r="K258">
        <v>0</v>
      </c>
      <c r="L258">
        <v>78</v>
      </c>
      <c r="M258" s="1" t="s">
        <v>1018</v>
      </c>
      <c r="N258" s="1" t="s">
        <v>1017</v>
      </c>
    </row>
    <row r="259" spans="1:14" x14ac:dyDescent="0.25">
      <c r="A259" s="1" t="s">
        <v>240</v>
      </c>
      <c r="B259" s="1" t="s">
        <v>1203</v>
      </c>
      <c r="C259" s="1" t="s">
        <v>23</v>
      </c>
      <c r="D259">
        <v>352358</v>
      </c>
      <c r="E259">
        <v>59939</v>
      </c>
      <c r="F259">
        <v>38759</v>
      </c>
      <c r="G259">
        <v>15</v>
      </c>
      <c r="H259" s="4">
        <v>107.60000000000001</v>
      </c>
      <c r="I259" s="2">
        <v>0.8</v>
      </c>
      <c r="J259">
        <v>0</v>
      </c>
      <c r="K259">
        <v>0</v>
      </c>
      <c r="L259">
        <v>64</v>
      </c>
      <c r="M259" s="1" t="s">
        <v>1014</v>
      </c>
      <c r="N259" s="1" t="s">
        <v>1019</v>
      </c>
    </row>
    <row r="260" spans="1:14" x14ac:dyDescent="0.25">
      <c r="A260" s="1" t="s">
        <v>384</v>
      </c>
      <c r="B260" s="1" t="s">
        <v>1198</v>
      </c>
      <c r="C260" s="1" t="s">
        <v>52</v>
      </c>
      <c r="D260">
        <v>513382</v>
      </c>
      <c r="E260">
        <v>84520</v>
      </c>
      <c r="F260">
        <v>56472</v>
      </c>
      <c r="G260">
        <v>15</v>
      </c>
      <c r="H260" s="4">
        <v>108.69999999999999</v>
      </c>
      <c r="I260" s="2">
        <v>0.8</v>
      </c>
      <c r="J260">
        <v>11</v>
      </c>
      <c r="K260">
        <v>1</v>
      </c>
      <c r="L260">
        <v>91</v>
      </c>
      <c r="M260" s="1" t="s">
        <v>1016</v>
      </c>
      <c r="N260" s="1" t="s">
        <v>1015</v>
      </c>
    </row>
    <row r="261" spans="1:14" x14ac:dyDescent="0.25">
      <c r="A261" s="1" t="s">
        <v>241</v>
      </c>
      <c r="B261" s="1" t="s">
        <v>1204</v>
      </c>
      <c r="C261" s="1" t="s">
        <v>7</v>
      </c>
      <c r="D261">
        <v>525187</v>
      </c>
      <c r="E261">
        <v>13530</v>
      </c>
      <c r="F261">
        <v>57771</v>
      </c>
      <c r="G261">
        <v>15</v>
      </c>
      <c r="H261" s="4">
        <v>109.8</v>
      </c>
      <c r="I261" s="2">
        <v>0.86666666666666703</v>
      </c>
      <c r="J261">
        <v>11</v>
      </c>
      <c r="K261">
        <v>1</v>
      </c>
      <c r="L261">
        <v>63</v>
      </c>
      <c r="M261" s="1" t="s">
        <v>1413</v>
      </c>
      <c r="N261" s="1" t="s">
        <v>1019</v>
      </c>
    </row>
    <row r="262" spans="1:14" x14ac:dyDescent="0.25">
      <c r="A262" s="1" t="s">
        <v>242</v>
      </c>
      <c r="B262" s="1" t="s">
        <v>1205</v>
      </c>
      <c r="C262" s="1" t="s">
        <v>9</v>
      </c>
      <c r="D262">
        <v>696723</v>
      </c>
      <c r="E262">
        <v>34426</v>
      </c>
      <c r="F262">
        <v>76640</v>
      </c>
      <c r="G262">
        <v>15</v>
      </c>
      <c r="H262" s="4">
        <v>104.3</v>
      </c>
      <c r="I262" s="2">
        <v>0.73333333333333295</v>
      </c>
      <c r="J262">
        <v>0</v>
      </c>
      <c r="K262">
        <v>0</v>
      </c>
      <c r="L262">
        <v>62</v>
      </c>
      <c r="M262" s="1" t="s">
        <v>1016</v>
      </c>
      <c r="N262" s="1" t="s">
        <v>1019</v>
      </c>
    </row>
    <row r="263" spans="1:14" x14ac:dyDescent="0.25">
      <c r="A263" s="1" t="s">
        <v>243</v>
      </c>
      <c r="B263" s="1" t="s">
        <v>1113</v>
      </c>
      <c r="C263" s="1" t="s">
        <v>5</v>
      </c>
      <c r="D263">
        <v>776721</v>
      </c>
      <c r="E263">
        <v>33588</v>
      </c>
      <c r="G263">
        <v>15</v>
      </c>
      <c r="H263" s="4">
        <v>118.59999999999998</v>
      </c>
      <c r="I263" s="2">
        <v>0.66666666666666696</v>
      </c>
      <c r="J263">
        <v>0</v>
      </c>
      <c r="K263">
        <v>0</v>
      </c>
      <c r="L263">
        <v>57</v>
      </c>
      <c r="M263" s="1" t="s">
        <v>1413</v>
      </c>
      <c r="N263" s="1" t="s">
        <v>1019</v>
      </c>
    </row>
    <row r="264" spans="1:14" x14ac:dyDescent="0.25">
      <c r="A264" s="1" t="s">
        <v>244</v>
      </c>
      <c r="B264" s="1" t="s">
        <v>1206</v>
      </c>
      <c r="C264" s="1" t="s">
        <v>1117</v>
      </c>
      <c r="D264">
        <v>528873</v>
      </c>
      <c r="E264">
        <v>9529</v>
      </c>
      <c r="F264">
        <v>58176</v>
      </c>
      <c r="G264">
        <v>15</v>
      </c>
      <c r="H264" s="4">
        <v>102.8</v>
      </c>
      <c r="I264" s="2">
        <v>0.8</v>
      </c>
      <c r="J264">
        <v>2</v>
      </c>
      <c r="K264">
        <v>1</v>
      </c>
      <c r="L264">
        <v>91</v>
      </c>
      <c r="M264" s="1" t="s">
        <v>1021</v>
      </c>
      <c r="N264" s="1" t="s">
        <v>1015</v>
      </c>
    </row>
    <row r="265" spans="1:14" x14ac:dyDescent="0.25">
      <c r="A265" s="1" t="s">
        <v>245</v>
      </c>
      <c r="B265" s="1" t="s">
        <v>1207</v>
      </c>
      <c r="C265" s="1" t="s">
        <v>27</v>
      </c>
      <c r="D265">
        <v>308316</v>
      </c>
      <c r="E265">
        <v>73132</v>
      </c>
      <c r="F265">
        <v>33915</v>
      </c>
      <c r="G265">
        <v>15</v>
      </c>
      <c r="H265" s="4">
        <v>113.8</v>
      </c>
      <c r="I265" s="2">
        <v>0.73333333333333295</v>
      </c>
      <c r="J265">
        <v>0</v>
      </c>
      <c r="K265">
        <v>0</v>
      </c>
      <c r="L265">
        <v>99</v>
      </c>
      <c r="M265" s="1" t="s">
        <v>1021</v>
      </c>
      <c r="N265" s="1" t="s">
        <v>1015</v>
      </c>
    </row>
    <row r="266" spans="1:14" x14ac:dyDescent="0.25">
      <c r="A266" s="1" t="s">
        <v>246</v>
      </c>
      <c r="B266" s="1" t="s">
        <v>1066</v>
      </c>
      <c r="C266" s="1" t="s">
        <v>3</v>
      </c>
      <c r="D266">
        <v>416599</v>
      </c>
      <c r="E266">
        <v>1474</v>
      </c>
      <c r="F266">
        <v>45826</v>
      </c>
      <c r="G266">
        <v>15</v>
      </c>
      <c r="H266" s="4">
        <v>105.99999999999999</v>
      </c>
      <c r="I266" s="2">
        <v>0.73333333333333295</v>
      </c>
      <c r="J266">
        <v>0</v>
      </c>
      <c r="K266">
        <v>0</v>
      </c>
      <c r="L266">
        <v>55</v>
      </c>
      <c r="M266" s="1" t="s">
        <v>1413</v>
      </c>
      <c r="N266" s="1" t="s">
        <v>1019</v>
      </c>
    </row>
    <row r="267" spans="1:14" x14ac:dyDescent="0.25">
      <c r="A267" s="1" t="s">
        <v>247</v>
      </c>
      <c r="B267" s="1" t="s">
        <v>1207</v>
      </c>
      <c r="C267" s="1" t="s">
        <v>7</v>
      </c>
      <c r="D267">
        <v>503449</v>
      </c>
      <c r="E267">
        <v>40299</v>
      </c>
      <c r="F267">
        <v>55379</v>
      </c>
      <c r="G267">
        <v>15</v>
      </c>
      <c r="H267" s="4">
        <v>100.60000000000002</v>
      </c>
      <c r="I267" s="2">
        <v>0.73333333333333295</v>
      </c>
      <c r="J267">
        <v>0</v>
      </c>
      <c r="K267">
        <v>0</v>
      </c>
      <c r="L267">
        <v>79</v>
      </c>
      <c r="M267" s="1" t="s">
        <v>1014</v>
      </c>
      <c r="N267" s="1" t="s">
        <v>1017</v>
      </c>
    </row>
    <row r="268" spans="1:14" x14ac:dyDescent="0.25">
      <c r="A268" s="1" t="s">
        <v>248</v>
      </c>
      <c r="B268" s="1" t="s">
        <v>1208</v>
      </c>
      <c r="C268" s="1" t="s">
        <v>37</v>
      </c>
      <c r="D268">
        <v>744448</v>
      </c>
      <c r="E268">
        <v>83331</v>
      </c>
      <c r="F268">
        <v>81889</v>
      </c>
      <c r="G268">
        <v>15</v>
      </c>
      <c r="H268" s="4">
        <v>98.199999999999989</v>
      </c>
      <c r="I268" s="2">
        <v>0.66666666666666696</v>
      </c>
      <c r="J268">
        <v>0</v>
      </c>
      <c r="K268">
        <v>0</v>
      </c>
      <c r="L268">
        <v>63</v>
      </c>
      <c r="M268" s="1" t="s">
        <v>1021</v>
      </c>
      <c r="N268" s="1" t="s">
        <v>1019</v>
      </c>
    </row>
    <row r="269" spans="1:14" x14ac:dyDescent="0.25">
      <c r="A269" s="1" t="s">
        <v>288</v>
      </c>
      <c r="B269" s="1" t="s">
        <v>1233</v>
      </c>
      <c r="C269" s="1" t="s">
        <v>3</v>
      </c>
      <c r="D269">
        <v>322088</v>
      </c>
      <c r="E269">
        <v>52249</v>
      </c>
      <c r="F269">
        <v>35430</v>
      </c>
      <c r="G269">
        <v>14</v>
      </c>
      <c r="H269" s="4">
        <v>82.8</v>
      </c>
      <c r="I269" s="2">
        <v>0.57142857142857095</v>
      </c>
      <c r="J269">
        <v>9</v>
      </c>
      <c r="K269">
        <v>1</v>
      </c>
      <c r="L269">
        <v>94</v>
      </c>
      <c r="M269" s="1" t="s">
        <v>1021</v>
      </c>
      <c r="N269" s="1" t="s">
        <v>1015</v>
      </c>
    </row>
    <row r="270" spans="1:14" x14ac:dyDescent="0.25">
      <c r="A270" s="1" t="s">
        <v>249</v>
      </c>
      <c r="B270" s="1" t="s">
        <v>1031</v>
      </c>
      <c r="C270" s="1" t="s">
        <v>9</v>
      </c>
      <c r="D270">
        <v>615941</v>
      </c>
      <c r="E270">
        <v>18878</v>
      </c>
      <c r="F270">
        <v>67754</v>
      </c>
      <c r="G270">
        <v>15</v>
      </c>
      <c r="H270" s="4">
        <v>103.59999999999998</v>
      </c>
      <c r="I270" s="2">
        <v>0.73333333333333295</v>
      </c>
      <c r="J270">
        <v>0</v>
      </c>
      <c r="K270">
        <v>0</v>
      </c>
      <c r="L270">
        <v>81</v>
      </c>
      <c r="M270" s="1" t="s">
        <v>1014</v>
      </c>
      <c r="N270" s="1" t="s">
        <v>1020</v>
      </c>
    </row>
    <row r="271" spans="1:14" x14ac:dyDescent="0.25">
      <c r="A271" s="1" t="s">
        <v>250</v>
      </c>
      <c r="B271" s="1" t="s">
        <v>1209</v>
      </c>
      <c r="C271" s="1" t="s">
        <v>3</v>
      </c>
      <c r="D271">
        <v>252236</v>
      </c>
      <c r="E271">
        <v>86863</v>
      </c>
      <c r="F271">
        <v>27746</v>
      </c>
      <c r="G271">
        <v>15</v>
      </c>
      <c r="H271" s="4">
        <v>105.10000000000001</v>
      </c>
      <c r="I271" s="2">
        <v>0.66666666666666696</v>
      </c>
      <c r="J271">
        <v>0</v>
      </c>
      <c r="K271">
        <v>0</v>
      </c>
      <c r="L271">
        <v>85</v>
      </c>
      <c r="M271" s="1" t="s">
        <v>1018</v>
      </c>
      <c r="N271" s="1" t="s">
        <v>1020</v>
      </c>
    </row>
    <row r="272" spans="1:14" x14ac:dyDescent="0.25">
      <c r="A272" s="1" t="s">
        <v>281</v>
      </c>
      <c r="B272" s="1" t="s">
        <v>1228</v>
      </c>
      <c r="C272" s="1" t="s">
        <v>23</v>
      </c>
      <c r="D272">
        <v>606131</v>
      </c>
      <c r="E272">
        <v>25216</v>
      </c>
      <c r="F272">
        <v>66674</v>
      </c>
      <c r="G272">
        <v>15</v>
      </c>
      <c r="H272" s="4">
        <v>118.10000000000001</v>
      </c>
      <c r="I272" s="2">
        <v>1</v>
      </c>
      <c r="J272">
        <v>14</v>
      </c>
      <c r="K272">
        <v>1</v>
      </c>
      <c r="L272">
        <v>56</v>
      </c>
      <c r="M272" s="1" t="s">
        <v>1021</v>
      </c>
      <c r="N272" s="1" t="s">
        <v>1019</v>
      </c>
    </row>
    <row r="273" spans="1:14" x14ac:dyDescent="0.25">
      <c r="A273" s="1" t="s">
        <v>252</v>
      </c>
      <c r="B273" s="1" t="s">
        <v>1210</v>
      </c>
      <c r="C273" s="1" t="s">
        <v>1037</v>
      </c>
      <c r="D273">
        <v>318621</v>
      </c>
      <c r="E273">
        <v>69964</v>
      </c>
      <c r="F273">
        <v>35048</v>
      </c>
      <c r="G273">
        <v>15</v>
      </c>
      <c r="H273" s="4">
        <v>111.4</v>
      </c>
      <c r="I273" s="2">
        <v>0.73333333333333295</v>
      </c>
      <c r="J273">
        <v>0</v>
      </c>
      <c r="K273">
        <v>0</v>
      </c>
      <c r="L273">
        <v>95</v>
      </c>
      <c r="M273" s="1" t="s">
        <v>1413</v>
      </c>
      <c r="N273" s="1" t="s">
        <v>1015</v>
      </c>
    </row>
    <row r="274" spans="1:14" x14ac:dyDescent="0.25">
      <c r="A274" s="1" t="s">
        <v>253</v>
      </c>
      <c r="B274" s="1" t="s">
        <v>1211</v>
      </c>
      <c r="C274" s="1" t="s">
        <v>23</v>
      </c>
      <c r="D274">
        <v>516493</v>
      </c>
      <c r="E274">
        <v>29913</v>
      </c>
      <c r="F274">
        <v>56814</v>
      </c>
      <c r="G274">
        <v>15</v>
      </c>
      <c r="H274" s="4">
        <v>112.60000000000001</v>
      </c>
      <c r="I274" s="2">
        <v>0.8</v>
      </c>
      <c r="J274">
        <v>0</v>
      </c>
      <c r="K274">
        <v>0</v>
      </c>
      <c r="L274">
        <v>77</v>
      </c>
      <c r="M274" s="1" t="s">
        <v>1018</v>
      </c>
      <c r="N274" s="1" t="s">
        <v>1017</v>
      </c>
    </row>
    <row r="275" spans="1:14" x14ac:dyDescent="0.25">
      <c r="A275" s="1" t="s">
        <v>254</v>
      </c>
      <c r="B275" s="1" t="s">
        <v>1212</v>
      </c>
      <c r="C275" s="1" t="s">
        <v>37</v>
      </c>
      <c r="D275">
        <v>223594</v>
      </c>
      <c r="E275">
        <v>38813</v>
      </c>
      <c r="F275">
        <v>24595</v>
      </c>
      <c r="G275">
        <v>15</v>
      </c>
      <c r="H275" s="4">
        <v>96.200000000000017</v>
      </c>
      <c r="I275" s="2">
        <v>0.66666666666666696</v>
      </c>
      <c r="J275">
        <v>0</v>
      </c>
      <c r="K275">
        <v>0</v>
      </c>
      <c r="L275">
        <v>63</v>
      </c>
      <c r="M275" s="1" t="s">
        <v>1018</v>
      </c>
      <c r="N275" s="1" t="s">
        <v>1019</v>
      </c>
    </row>
    <row r="276" spans="1:14" x14ac:dyDescent="0.25">
      <c r="A276" s="1" t="s">
        <v>255</v>
      </c>
      <c r="B276" s="1" t="s">
        <v>1213</v>
      </c>
      <c r="C276" s="1" t="s">
        <v>52</v>
      </c>
      <c r="D276">
        <v>222817</v>
      </c>
      <c r="E276">
        <v>70025</v>
      </c>
      <c r="F276">
        <v>24510</v>
      </c>
      <c r="G276">
        <v>14</v>
      </c>
      <c r="H276" s="4">
        <v>87</v>
      </c>
      <c r="I276" s="2">
        <v>0.78571428571428603</v>
      </c>
      <c r="J276">
        <v>6</v>
      </c>
      <c r="K276">
        <v>1</v>
      </c>
      <c r="L276">
        <v>57</v>
      </c>
      <c r="M276" s="1" t="s">
        <v>1018</v>
      </c>
      <c r="N276" s="1" t="s">
        <v>1019</v>
      </c>
    </row>
    <row r="277" spans="1:14" x14ac:dyDescent="0.25">
      <c r="A277" s="1" t="s">
        <v>349</v>
      </c>
      <c r="B277" s="1" t="s">
        <v>1259</v>
      </c>
      <c r="C277" s="1" t="s">
        <v>3</v>
      </c>
      <c r="D277">
        <v>437482</v>
      </c>
      <c r="E277">
        <v>8841</v>
      </c>
      <c r="F277">
        <v>48123</v>
      </c>
      <c r="G277">
        <v>15</v>
      </c>
      <c r="H277" s="4">
        <v>116.00000000000001</v>
      </c>
      <c r="I277" s="2">
        <v>0.73333333333333295</v>
      </c>
      <c r="J277">
        <v>13</v>
      </c>
      <c r="K277">
        <v>1</v>
      </c>
      <c r="L277">
        <v>94</v>
      </c>
      <c r="M277" s="1" t="s">
        <v>1021</v>
      </c>
      <c r="N277" s="1" t="s">
        <v>1015</v>
      </c>
    </row>
    <row r="278" spans="1:14" x14ac:dyDescent="0.25">
      <c r="A278" s="1" t="s">
        <v>258</v>
      </c>
      <c r="B278" s="1" t="s">
        <v>1202</v>
      </c>
      <c r="C278" s="1" t="s">
        <v>1037</v>
      </c>
      <c r="D278">
        <v>250619</v>
      </c>
      <c r="E278">
        <v>79210</v>
      </c>
      <c r="F278">
        <v>27568</v>
      </c>
      <c r="G278">
        <v>15</v>
      </c>
      <c r="H278" s="4">
        <v>106.00000000000001</v>
      </c>
      <c r="I278" s="2">
        <v>0.8</v>
      </c>
      <c r="J278">
        <v>0</v>
      </c>
      <c r="K278">
        <v>0</v>
      </c>
      <c r="L278">
        <v>74</v>
      </c>
      <c r="M278" s="1" t="s">
        <v>1413</v>
      </c>
      <c r="N278" s="1" t="s">
        <v>1017</v>
      </c>
    </row>
    <row r="279" spans="1:14" x14ac:dyDescent="0.25">
      <c r="A279" s="1" t="s">
        <v>259</v>
      </c>
      <c r="B279" s="1" t="s">
        <v>1215</v>
      </c>
      <c r="C279" s="1" t="s">
        <v>23</v>
      </c>
      <c r="D279">
        <v>786587</v>
      </c>
      <c r="E279">
        <v>89248</v>
      </c>
      <c r="F279">
        <v>86525</v>
      </c>
      <c r="G279">
        <v>15</v>
      </c>
      <c r="H279" s="4">
        <v>106.49999999999999</v>
      </c>
      <c r="I279" s="2">
        <v>0.8</v>
      </c>
      <c r="J279">
        <v>0</v>
      </c>
      <c r="K279">
        <v>0</v>
      </c>
      <c r="L279">
        <v>68</v>
      </c>
      <c r="M279" s="1" t="s">
        <v>1021</v>
      </c>
      <c r="N279" s="1" t="s">
        <v>1019</v>
      </c>
    </row>
    <row r="280" spans="1:14" x14ac:dyDescent="0.25">
      <c r="A280" s="1" t="s">
        <v>335</v>
      </c>
      <c r="B280" s="1" t="s">
        <v>1074</v>
      </c>
      <c r="C280" s="1" t="s">
        <v>3</v>
      </c>
      <c r="D280">
        <v>805536</v>
      </c>
      <c r="E280">
        <v>57292</v>
      </c>
      <c r="F280">
        <v>88609</v>
      </c>
      <c r="G280">
        <v>15</v>
      </c>
      <c r="H280" s="4">
        <v>105.5</v>
      </c>
      <c r="I280" s="2">
        <v>0.73333333333333295</v>
      </c>
      <c r="J280">
        <v>9</v>
      </c>
      <c r="K280">
        <v>1</v>
      </c>
      <c r="L280">
        <v>85</v>
      </c>
      <c r="M280" s="1" t="s">
        <v>1021</v>
      </c>
      <c r="N280" s="1" t="s">
        <v>1020</v>
      </c>
    </row>
    <row r="281" spans="1:14" x14ac:dyDescent="0.25">
      <c r="A281" s="1" t="s">
        <v>260</v>
      </c>
      <c r="B281" s="1" t="s">
        <v>1216</v>
      </c>
      <c r="C281" s="1" t="s">
        <v>5</v>
      </c>
      <c r="D281">
        <v>739081</v>
      </c>
      <c r="E281">
        <v>55146</v>
      </c>
      <c r="G281">
        <v>15</v>
      </c>
      <c r="H281" s="4">
        <v>86.2</v>
      </c>
      <c r="I281" s="2">
        <v>0.53333333333333299</v>
      </c>
      <c r="J281">
        <v>26</v>
      </c>
      <c r="K281">
        <v>2</v>
      </c>
      <c r="L281">
        <v>79</v>
      </c>
      <c r="M281" s="1" t="s">
        <v>1016</v>
      </c>
      <c r="N281" s="1" t="s">
        <v>1017</v>
      </c>
    </row>
    <row r="282" spans="1:14" x14ac:dyDescent="0.25">
      <c r="A282" s="1" t="s">
        <v>364</v>
      </c>
      <c r="B282" s="1" t="s">
        <v>1141</v>
      </c>
      <c r="C282" s="1" t="s">
        <v>7</v>
      </c>
      <c r="D282">
        <v>588626</v>
      </c>
      <c r="E282">
        <v>52710</v>
      </c>
      <c r="F282">
        <v>64749</v>
      </c>
      <c r="G282">
        <v>15</v>
      </c>
      <c r="H282" s="4">
        <v>103.7</v>
      </c>
      <c r="I282" s="2">
        <v>0.8</v>
      </c>
      <c r="J282">
        <v>5</v>
      </c>
      <c r="K282">
        <v>1</v>
      </c>
      <c r="L282">
        <v>76</v>
      </c>
      <c r="M282" s="1" t="s">
        <v>1021</v>
      </c>
      <c r="N282" s="1" t="s">
        <v>1017</v>
      </c>
    </row>
    <row r="283" spans="1:14" x14ac:dyDescent="0.25">
      <c r="A283" s="1" t="s">
        <v>261</v>
      </c>
      <c r="B283" s="1" t="s">
        <v>1217</v>
      </c>
      <c r="C283" s="1" t="s">
        <v>3</v>
      </c>
      <c r="D283">
        <v>347515</v>
      </c>
      <c r="E283">
        <v>50598</v>
      </c>
      <c r="F283">
        <v>38227</v>
      </c>
      <c r="G283">
        <v>15</v>
      </c>
      <c r="H283" s="4">
        <v>108.1</v>
      </c>
      <c r="I283" s="2">
        <v>0.8</v>
      </c>
      <c r="J283">
        <v>0</v>
      </c>
      <c r="K283">
        <v>0</v>
      </c>
      <c r="L283">
        <v>60</v>
      </c>
      <c r="M283" s="1" t="s">
        <v>1014</v>
      </c>
      <c r="N283" s="1" t="s">
        <v>1019</v>
      </c>
    </row>
    <row r="284" spans="1:14" x14ac:dyDescent="0.25">
      <c r="A284" s="1" t="s">
        <v>262</v>
      </c>
      <c r="B284" s="1" t="s">
        <v>1218</v>
      </c>
      <c r="C284" s="1" t="s">
        <v>3</v>
      </c>
      <c r="D284">
        <v>837652</v>
      </c>
      <c r="E284">
        <v>47300</v>
      </c>
      <c r="F284">
        <v>92142</v>
      </c>
      <c r="G284">
        <v>15</v>
      </c>
      <c r="H284" s="4">
        <v>101.8</v>
      </c>
      <c r="I284" s="2">
        <v>0.6</v>
      </c>
      <c r="J284">
        <v>13</v>
      </c>
      <c r="K284">
        <v>1</v>
      </c>
      <c r="L284">
        <v>94</v>
      </c>
      <c r="M284" s="1" t="s">
        <v>1413</v>
      </c>
      <c r="N284" s="1" t="s">
        <v>1015</v>
      </c>
    </row>
    <row r="285" spans="1:14" x14ac:dyDescent="0.25">
      <c r="A285" s="1" t="s">
        <v>328</v>
      </c>
      <c r="B285" s="1" t="s">
        <v>1251</v>
      </c>
      <c r="C285" s="1" t="s">
        <v>52</v>
      </c>
      <c r="D285">
        <v>525754</v>
      </c>
      <c r="E285">
        <v>1996</v>
      </c>
      <c r="F285">
        <v>57833</v>
      </c>
      <c r="G285">
        <v>15</v>
      </c>
      <c r="H285" s="4">
        <v>105.39999999999999</v>
      </c>
      <c r="I285" s="2">
        <v>0.8</v>
      </c>
      <c r="J285">
        <v>8</v>
      </c>
      <c r="K285">
        <v>1</v>
      </c>
      <c r="L285">
        <v>75</v>
      </c>
      <c r="M285" s="1" t="s">
        <v>1413</v>
      </c>
      <c r="N285" s="1" t="s">
        <v>1017</v>
      </c>
    </row>
    <row r="286" spans="1:14" x14ac:dyDescent="0.25">
      <c r="A286" s="1" t="s">
        <v>264</v>
      </c>
      <c r="B286" s="1" t="s">
        <v>1220</v>
      </c>
      <c r="C286" s="1" t="s">
        <v>37</v>
      </c>
      <c r="D286">
        <v>269743</v>
      </c>
      <c r="E286">
        <v>62202</v>
      </c>
      <c r="F286">
        <v>29672</v>
      </c>
      <c r="G286">
        <v>15</v>
      </c>
      <c r="H286" s="4">
        <v>110.3</v>
      </c>
      <c r="I286" s="2">
        <v>0.86666666666666703</v>
      </c>
      <c r="J286">
        <v>0</v>
      </c>
      <c r="K286">
        <v>0</v>
      </c>
      <c r="L286">
        <v>88</v>
      </c>
      <c r="M286" s="1" t="s">
        <v>1021</v>
      </c>
      <c r="N286" s="1" t="s">
        <v>1020</v>
      </c>
    </row>
    <row r="287" spans="1:14" x14ac:dyDescent="0.25">
      <c r="A287" s="1" t="s">
        <v>357</v>
      </c>
      <c r="B287" s="1" t="s">
        <v>1266</v>
      </c>
      <c r="C287" s="1" t="s">
        <v>27</v>
      </c>
      <c r="D287">
        <v>829155</v>
      </c>
      <c r="E287">
        <v>11088</v>
      </c>
      <c r="F287">
        <v>91207</v>
      </c>
      <c r="G287">
        <v>15</v>
      </c>
      <c r="H287" s="4">
        <v>105.4</v>
      </c>
      <c r="I287" s="2">
        <v>0.8</v>
      </c>
      <c r="J287">
        <v>19</v>
      </c>
      <c r="K287">
        <v>2</v>
      </c>
      <c r="L287">
        <v>56</v>
      </c>
      <c r="M287" s="1" t="s">
        <v>1413</v>
      </c>
      <c r="N287" s="1" t="s">
        <v>1019</v>
      </c>
    </row>
    <row r="288" spans="1:14" x14ac:dyDescent="0.25">
      <c r="A288" s="1" t="s">
        <v>266</v>
      </c>
      <c r="B288" s="1" t="s">
        <v>1193</v>
      </c>
      <c r="C288" s="1" t="s">
        <v>3</v>
      </c>
      <c r="D288">
        <v>788977</v>
      </c>
      <c r="E288">
        <v>50451</v>
      </c>
      <c r="G288">
        <v>15</v>
      </c>
      <c r="H288" s="4">
        <v>98.8</v>
      </c>
      <c r="I288" s="2">
        <v>0.8</v>
      </c>
      <c r="J288">
        <v>0</v>
      </c>
      <c r="K288">
        <v>0</v>
      </c>
      <c r="L288">
        <v>64</v>
      </c>
      <c r="M288" s="1" t="s">
        <v>1016</v>
      </c>
      <c r="N288" s="1" t="s">
        <v>1019</v>
      </c>
    </row>
    <row r="289" spans="1:14" x14ac:dyDescent="0.25">
      <c r="A289" s="1" t="s">
        <v>267</v>
      </c>
      <c r="B289" s="1" t="s">
        <v>1222</v>
      </c>
      <c r="C289" s="1" t="s">
        <v>12</v>
      </c>
      <c r="D289">
        <v>535547</v>
      </c>
      <c r="E289">
        <v>83388</v>
      </c>
      <c r="F289">
        <v>58910</v>
      </c>
      <c r="G289">
        <v>15</v>
      </c>
      <c r="H289" s="4">
        <v>71.799999999999983</v>
      </c>
      <c r="I289" s="2">
        <v>0.46666666666666701</v>
      </c>
      <c r="J289">
        <v>0</v>
      </c>
      <c r="K289">
        <v>0</v>
      </c>
      <c r="L289">
        <v>90</v>
      </c>
      <c r="M289" s="1" t="s">
        <v>1014</v>
      </c>
      <c r="N289" s="1" t="s">
        <v>1015</v>
      </c>
    </row>
    <row r="290" spans="1:14" x14ac:dyDescent="0.25">
      <c r="A290" s="1" t="s">
        <v>268</v>
      </c>
      <c r="B290" s="1" t="s">
        <v>1101</v>
      </c>
      <c r="C290" s="1" t="s">
        <v>7</v>
      </c>
      <c r="D290">
        <v>294659</v>
      </c>
      <c r="E290">
        <v>44824</v>
      </c>
      <c r="F290">
        <v>32412</v>
      </c>
      <c r="G290">
        <v>15</v>
      </c>
      <c r="H290" s="4">
        <v>103.10000000000001</v>
      </c>
      <c r="I290" s="2">
        <v>0.73333333333333295</v>
      </c>
      <c r="J290">
        <v>0</v>
      </c>
      <c r="K290">
        <v>0</v>
      </c>
      <c r="L290">
        <v>80</v>
      </c>
      <c r="M290" s="1" t="s">
        <v>1413</v>
      </c>
      <c r="N290" s="1" t="s">
        <v>1020</v>
      </c>
    </row>
    <row r="291" spans="1:14" x14ac:dyDescent="0.25">
      <c r="A291" s="1" t="s">
        <v>269</v>
      </c>
      <c r="B291" s="1" t="s">
        <v>1223</v>
      </c>
      <c r="C291" s="1" t="s">
        <v>52</v>
      </c>
      <c r="D291">
        <v>438159</v>
      </c>
      <c r="E291">
        <v>1183</v>
      </c>
      <c r="F291">
        <v>48197</v>
      </c>
      <c r="G291">
        <v>15</v>
      </c>
      <c r="H291" s="4">
        <v>120.89999999999999</v>
      </c>
      <c r="I291" s="2">
        <v>0.66666666666666696</v>
      </c>
      <c r="J291">
        <v>0</v>
      </c>
      <c r="K291">
        <v>0</v>
      </c>
      <c r="L291">
        <v>85</v>
      </c>
      <c r="M291" s="1" t="s">
        <v>1016</v>
      </c>
      <c r="N291" s="1" t="s">
        <v>1020</v>
      </c>
    </row>
    <row r="292" spans="1:14" x14ac:dyDescent="0.25">
      <c r="A292" s="1" t="s">
        <v>270</v>
      </c>
      <c r="B292" s="1" t="s">
        <v>1222</v>
      </c>
      <c r="C292" s="1" t="s">
        <v>37</v>
      </c>
      <c r="D292">
        <v>556774</v>
      </c>
      <c r="E292">
        <v>58508</v>
      </c>
      <c r="F292">
        <v>61245</v>
      </c>
      <c r="G292">
        <v>15</v>
      </c>
      <c r="H292" s="4">
        <v>117.50000000000001</v>
      </c>
      <c r="I292" s="2">
        <v>0.93333333333333302</v>
      </c>
      <c r="J292">
        <v>0</v>
      </c>
      <c r="K292">
        <v>0</v>
      </c>
      <c r="L292">
        <v>95</v>
      </c>
      <c r="M292" s="1" t="s">
        <v>1413</v>
      </c>
      <c r="N292" s="1" t="s">
        <v>1015</v>
      </c>
    </row>
    <row r="293" spans="1:14" x14ac:dyDescent="0.25">
      <c r="A293" s="1" t="s">
        <v>271</v>
      </c>
      <c r="B293" s="1" t="s">
        <v>1224</v>
      </c>
      <c r="C293" s="1" t="s">
        <v>9</v>
      </c>
      <c r="D293">
        <v>769968</v>
      </c>
      <c r="E293">
        <v>25183</v>
      </c>
      <c r="F293">
        <v>84696</v>
      </c>
      <c r="G293">
        <v>15</v>
      </c>
      <c r="H293" s="4">
        <v>104.19999999999997</v>
      </c>
      <c r="I293" s="2">
        <v>0.53333333333333299</v>
      </c>
      <c r="J293">
        <v>2</v>
      </c>
      <c r="K293">
        <v>1</v>
      </c>
      <c r="L293">
        <v>91</v>
      </c>
      <c r="M293" s="1" t="s">
        <v>1021</v>
      </c>
      <c r="N293" s="1" t="s">
        <v>1015</v>
      </c>
    </row>
    <row r="294" spans="1:14" x14ac:dyDescent="0.25">
      <c r="A294" s="1" t="s">
        <v>272</v>
      </c>
      <c r="B294" s="1" t="s">
        <v>1127</v>
      </c>
      <c r="C294" s="1" t="s">
        <v>12</v>
      </c>
      <c r="D294">
        <v>285617</v>
      </c>
      <c r="E294">
        <v>11653</v>
      </c>
      <c r="F294">
        <v>31418</v>
      </c>
      <c r="G294">
        <v>15</v>
      </c>
      <c r="H294" s="4">
        <v>106.40000000000002</v>
      </c>
      <c r="I294" s="2">
        <v>0.86666666666666703</v>
      </c>
      <c r="J294">
        <v>0</v>
      </c>
      <c r="K294">
        <v>0</v>
      </c>
      <c r="L294">
        <v>55</v>
      </c>
      <c r="M294" s="1" t="s">
        <v>1014</v>
      </c>
      <c r="N294" s="1" t="s">
        <v>1019</v>
      </c>
    </row>
    <row r="295" spans="1:14" x14ac:dyDescent="0.25">
      <c r="A295" s="1" t="s">
        <v>273</v>
      </c>
      <c r="B295" s="1" t="s">
        <v>1190</v>
      </c>
      <c r="C295" s="1" t="s">
        <v>3</v>
      </c>
      <c r="D295">
        <v>762181</v>
      </c>
      <c r="E295">
        <v>50223</v>
      </c>
      <c r="F295">
        <v>83840</v>
      </c>
      <c r="G295">
        <v>15</v>
      </c>
      <c r="H295" s="4">
        <v>105.00000000000001</v>
      </c>
      <c r="I295" s="2">
        <v>0.73333333333333295</v>
      </c>
      <c r="J295">
        <v>0</v>
      </c>
      <c r="K295">
        <v>0</v>
      </c>
      <c r="L295">
        <v>88</v>
      </c>
      <c r="M295" s="1" t="s">
        <v>1014</v>
      </c>
      <c r="N295" s="1" t="s">
        <v>1020</v>
      </c>
    </row>
    <row r="296" spans="1:14" x14ac:dyDescent="0.25">
      <c r="A296" s="1" t="s">
        <v>274</v>
      </c>
      <c r="B296" s="1" t="s">
        <v>1127</v>
      </c>
      <c r="C296" s="1" t="s">
        <v>1037</v>
      </c>
      <c r="D296">
        <v>845677</v>
      </c>
      <c r="E296">
        <v>10138</v>
      </c>
      <c r="F296">
        <v>93024</v>
      </c>
      <c r="G296">
        <v>15</v>
      </c>
      <c r="H296" s="4">
        <v>94</v>
      </c>
      <c r="I296" s="2">
        <v>0.66666666666666696</v>
      </c>
      <c r="J296">
        <v>0</v>
      </c>
      <c r="K296">
        <v>0</v>
      </c>
      <c r="L296">
        <v>70</v>
      </c>
      <c r="M296" s="1" t="s">
        <v>1016</v>
      </c>
      <c r="N296" s="1" t="s">
        <v>1017</v>
      </c>
    </row>
    <row r="297" spans="1:14" x14ac:dyDescent="0.25">
      <c r="A297" s="1" t="s">
        <v>276</v>
      </c>
      <c r="B297" s="1" t="s">
        <v>1107</v>
      </c>
      <c r="C297" s="1" t="s">
        <v>7</v>
      </c>
      <c r="D297">
        <v>647546</v>
      </c>
      <c r="E297">
        <v>4136</v>
      </c>
      <c r="F297">
        <v>71230</v>
      </c>
      <c r="G297">
        <v>15</v>
      </c>
      <c r="H297" s="4">
        <v>97.2</v>
      </c>
      <c r="I297" s="2">
        <v>0.8</v>
      </c>
      <c r="J297">
        <v>0</v>
      </c>
      <c r="K297">
        <v>0</v>
      </c>
      <c r="L297">
        <v>57</v>
      </c>
      <c r="M297" s="1" t="s">
        <v>1413</v>
      </c>
      <c r="N297" s="1" t="s">
        <v>1019</v>
      </c>
    </row>
    <row r="298" spans="1:14" x14ac:dyDescent="0.25">
      <c r="A298" s="1" t="s">
        <v>278</v>
      </c>
      <c r="B298" s="1" t="s">
        <v>1220</v>
      </c>
      <c r="C298" s="1" t="s">
        <v>1037</v>
      </c>
      <c r="D298">
        <v>376371</v>
      </c>
      <c r="E298">
        <v>37695</v>
      </c>
      <c r="F298">
        <v>41401</v>
      </c>
      <c r="G298">
        <v>15</v>
      </c>
      <c r="H298" s="4">
        <v>115.1</v>
      </c>
      <c r="I298" s="2">
        <v>0.86666666666666703</v>
      </c>
      <c r="J298">
        <v>0</v>
      </c>
      <c r="K298">
        <v>0</v>
      </c>
      <c r="L298">
        <v>63</v>
      </c>
      <c r="M298" s="1" t="s">
        <v>1021</v>
      </c>
      <c r="N298" s="1" t="s">
        <v>1019</v>
      </c>
    </row>
    <row r="299" spans="1:14" x14ac:dyDescent="0.25">
      <c r="A299" s="1" t="s">
        <v>279</v>
      </c>
      <c r="B299" s="1" t="s">
        <v>1227</v>
      </c>
      <c r="C299" s="1" t="s">
        <v>3</v>
      </c>
      <c r="D299">
        <v>818198</v>
      </c>
      <c r="E299">
        <v>67724</v>
      </c>
      <c r="G299">
        <v>15</v>
      </c>
      <c r="H299" s="4">
        <v>108.6</v>
      </c>
      <c r="I299" s="2">
        <v>0.86666666666666703</v>
      </c>
      <c r="J299">
        <v>0</v>
      </c>
      <c r="K299">
        <v>0</v>
      </c>
      <c r="L299">
        <v>90</v>
      </c>
      <c r="M299" s="1" t="s">
        <v>1413</v>
      </c>
      <c r="N299" s="1" t="s">
        <v>1015</v>
      </c>
    </row>
    <row r="300" spans="1:14" x14ac:dyDescent="0.25">
      <c r="A300" s="1" t="s">
        <v>280</v>
      </c>
      <c r="B300" s="1" t="s">
        <v>1115</v>
      </c>
      <c r="C300" s="1" t="s">
        <v>1037</v>
      </c>
      <c r="D300">
        <v>411319</v>
      </c>
      <c r="E300">
        <v>88992</v>
      </c>
      <c r="F300">
        <v>45245</v>
      </c>
      <c r="G300">
        <v>15</v>
      </c>
      <c r="H300" s="4">
        <v>109.89999999999999</v>
      </c>
      <c r="I300" s="2">
        <v>0.93333333333333302</v>
      </c>
      <c r="J300">
        <v>0</v>
      </c>
      <c r="K300">
        <v>0</v>
      </c>
      <c r="L300">
        <v>64</v>
      </c>
      <c r="M300" s="1" t="s">
        <v>1018</v>
      </c>
      <c r="N300" s="1" t="s">
        <v>1019</v>
      </c>
    </row>
    <row r="301" spans="1:14" x14ac:dyDescent="0.25">
      <c r="A301" s="1" t="s">
        <v>287</v>
      </c>
      <c r="B301" s="1" t="s">
        <v>1115</v>
      </c>
      <c r="C301" s="1" t="s">
        <v>7</v>
      </c>
      <c r="D301">
        <v>390272</v>
      </c>
      <c r="E301">
        <v>39611</v>
      </c>
      <c r="F301">
        <v>42930</v>
      </c>
      <c r="G301">
        <v>14</v>
      </c>
      <c r="H301" s="4">
        <v>74.400000000000006</v>
      </c>
      <c r="I301" s="2">
        <v>0.57142857142857095</v>
      </c>
      <c r="J301">
        <v>12</v>
      </c>
      <c r="K301">
        <v>1</v>
      </c>
      <c r="L301">
        <v>60</v>
      </c>
      <c r="M301" s="1" t="s">
        <v>1018</v>
      </c>
      <c r="N301" s="1" t="s">
        <v>1019</v>
      </c>
    </row>
    <row r="302" spans="1:14" x14ac:dyDescent="0.25">
      <c r="A302" s="1" t="s">
        <v>282</v>
      </c>
      <c r="B302" s="1" t="s">
        <v>1079</v>
      </c>
      <c r="C302" s="1" t="s">
        <v>1037</v>
      </c>
      <c r="D302">
        <v>438491</v>
      </c>
      <c r="E302">
        <v>29861</v>
      </c>
      <c r="F302">
        <v>48234</v>
      </c>
      <c r="G302">
        <v>15</v>
      </c>
      <c r="H302" s="4">
        <v>103.6</v>
      </c>
      <c r="I302" s="2">
        <v>0.6</v>
      </c>
      <c r="J302">
        <v>0</v>
      </c>
      <c r="K302">
        <v>0</v>
      </c>
      <c r="L302">
        <v>81</v>
      </c>
      <c r="M302" s="1" t="s">
        <v>1014</v>
      </c>
      <c r="N302" s="1" t="s">
        <v>1020</v>
      </c>
    </row>
    <row r="303" spans="1:14" x14ac:dyDescent="0.25">
      <c r="A303" s="1" t="s">
        <v>283</v>
      </c>
      <c r="B303" s="1" t="s">
        <v>1229</v>
      </c>
      <c r="C303" s="1" t="s">
        <v>3</v>
      </c>
      <c r="D303">
        <v>299840</v>
      </c>
      <c r="E303">
        <v>36160</v>
      </c>
      <c r="F303">
        <v>32982</v>
      </c>
      <c r="G303">
        <v>15</v>
      </c>
      <c r="H303" s="4">
        <v>86.499999999999986</v>
      </c>
      <c r="I303" s="2">
        <v>0.73333333333333295</v>
      </c>
      <c r="J303">
        <v>0</v>
      </c>
      <c r="K303">
        <v>0</v>
      </c>
      <c r="L303">
        <v>78</v>
      </c>
      <c r="M303" s="1" t="s">
        <v>1413</v>
      </c>
      <c r="N303" s="1" t="s">
        <v>1017</v>
      </c>
    </row>
    <row r="304" spans="1:14" x14ac:dyDescent="0.25">
      <c r="A304" s="1" t="s">
        <v>285</v>
      </c>
      <c r="B304" s="1" t="s">
        <v>1231</v>
      </c>
      <c r="C304" s="1" t="s">
        <v>27</v>
      </c>
      <c r="D304">
        <v>546298</v>
      </c>
      <c r="E304">
        <v>42037</v>
      </c>
      <c r="F304">
        <v>60093</v>
      </c>
      <c r="G304">
        <v>15</v>
      </c>
      <c r="H304" s="4">
        <v>97.8</v>
      </c>
      <c r="I304" s="2">
        <v>0.8</v>
      </c>
      <c r="J304">
        <v>0</v>
      </c>
      <c r="K304">
        <v>0</v>
      </c>
      <c r="L304">
        <v>67</v>
      </c>
      <c r="M304" s="1" t="s">
        <v>1018</v>
      </c>
      <c r="N304" s="1" t="s">
        <v>1019</v>
      </c>
    </row>
    <row r="305" spans="1:14" x14ac:dyDescent="0.25">
      <c r="A305" s="1" t="s">
        <v>286</v>
      </c>
      <c r="B305" s="1" t="s">
        <v>1232</v>
      </c>
      <c r="C305" s="1" t="s">
        <v>37</v>
      </c>
      <c r="D305">
        <v>296464</v>
      </c>
      <c r="E305">
        <v>13175</v>
      </c>
      <c r="F305">
        <v>32611</v>
      </c>
      <c r="G305">
        <v>15</v>
      </c>
      <c r="H305" s="4">
        <v>104.39999999999999</v>
      </c>
      <c r="I305" s="2">
        <v>0.66666666666666696</v>
      </c>
      <c r="J305">
        <v>0</v>
      </c>
      <c r="K305">
        <v>0</v>
      </c>
      <c r="L305">
        <v>89</v>
      </c>
      <c r="M305" s="1" t="s">
        <v>1021</v>
      </c>
      <c r="N305" s="1" t="s">
        <v>1020</v>
      </c>
    </row>
    <row r="306" spans="1:14" x14ac:dyDescent="0.25">
      <c r="A306" s="1" t="s">
        <v>391</v>
      </c>
      <c r="B306" s="1" t="s">
        <v>1282</v>
      </c>
      <c r="C306" s="1" t="s">
        <v>52</v>
      </c>
      <c r="D306">
        <v>508131</v>
      </c>
      <c r="E306">
        <v>54614</v>
      </c>
      <c r="F306">
        <v>55894</v>
      </c>
      <c r="G306">
        <v>15</v>
      </c>
      <c r="H306" s="4">
        <v>107.7</v>
      </c>
      <c r="I306" s="2">
        <v>0.86666666666666703</v>
      </c>
      <c r="J306">
        <v>3</v>
      </c>
      <c r="K306">
        <v>1</v>
      </c>
      <c r="L306">
        <v>87</v>
      </c>
      <c r="M306" s="1" t="s">
        <v>1016</v>
      </c>
      <c r="N306" s="1" t="s">
        <v>1020</v>
      </c>
    </row>
    <row r="307" spans="1:14" x14ac:dyDescent="0.25">
      <c r="A307" s="1" t="s">
        <v>289</v>
      </c>
      <c r="B307" s="1" t="s">
        <v>1234</v>
      </c>
      <c r="C307" s="1" t="s">
        <v>1037</v>
      </c>
      <c r="D307">
        <v>647783</v>
      </c>
      <c r="E307">
        <v>43960</v>
      </c>
      <c r="F307">
        <v>71256</v>
      </c>
      <c r="G307">
        <v>15</v>
      </c>
      <c r="H307" s="4">
        <v>73.8</v>
      </c>
      <c r="I307" s="2">
        <v>0.53333333333333299</v>
      </c>
      <c r="J307">
        <v>0</v>
      </c>
      <c r="K307">
        <v>0</v>
      </c>
      <c r="L307">
        <v>95</v>
      </c>
      <c r="M307" s="1" t="s">
        <v>1021</v>
      </c>
      <c r="N307" s="1" t="s">
        <v>1015</v>
      </c>
    </row>
    <row r="308" spans="1:14" x14ac:dyDescent="0.25">
      <c r="A308" s="1" t="s">
        <v>290</v>
      </c>
      <c r="B308" s="1" t="s">
        <v>1118</v>
      </c>
      <c r="C308" s="1" t="s">
        <v>5</v>
      </c>
      <c r="D308">
        <v>771565</v>
      </c>
      <c r="E308">
        <v>37480</v>
      </c>
      <c r="F308">
        <v>84872</v>
      </c>
      <c r="G308">
        <v>15</v>
      </c>
      <c r="H308" s="4">
        <v>88.399999999999977</v>
      </c>
      <c r="I308" s="2">
        <v>0.53333333333333299</v>
      </c>
      <c r="J308">
        <v>0</v>
      </c>
      <c r="K308">
        <v>0</v>
      </c>
      <c r="L308">
        <v>76</v>
      </c>
      <c r="M308" s="1" t="s">
        <v>1016</v>
      </c>
      <c r="N308" s="1" t="s">
        <v>1017</v>
      </c>
    </row>
    <row r="309" spans="1:14" x14ac:dyDescent="0.25">
      <c r="A309" s="1" t="s">
        <v>291</v>
      </c>
      <c r="B309" s="1" t="s">
        <v>1113</v>
      </c>
      <c r="C309" s="1" t="s">
        <v>9</v>
      </c>
      <c r="D309">
        <v>750924</v>
      </c>
      <c r="E309">
        <v>35835</v>
      </c>
      <c r="F309">
        <v>82602</v>
      </c>
      <c r="G309">
        <v>15</v>
      </c>
      <c r="H309" s="4">
        <v>102.9</v>
      </c>
      <c r="I309" s="2">
        <v>0.73333333333333295</v>
      </c>
      <c r="J309">
        <v>10</v>
      </c>
      <c r="K309">
        <v>1</v>
      </c>
      <c r="L309">
        <v>61</v>
      </c>
      <c r="M309" s="1" t="s">
        <v>1014</v>
      </c>
      <c r="N309" s="1" t="s">
        <v>1019</v>
      </c>
    </row>
    <row r="310" spans="1:14" x14ac:dyDescent="0.25">
      <c r="A310" s="1" t="s">
        <v>292</v>
      </c>
      <c r="B310" s="1" t="s">
        <v>1180</v>
      </c>
      <c r="C310" s="1" t="s">
        <v>1037</v>
      </c>
      <c r="D310">
        <v>652222</v>
      </c>
      <c r="E310">
        <v>87479</v>
      </c>
      <c r="G310">
        <v>15</v>
      </c>
      <c r="H310" s="4">
        <v>103.60000000000001</v>
      </c>
      <c r="I310" s="2">
        <v>0.8</v>
      </c>
      <c r="J310">
        <v>0</v>
      </c>
      <c r="K310">
        <v>0</v>
      </c>
      <c r="L310">
        <v>79</v>
      </c>
      <c r="M310" s="1" t="s">
        <v>1016</v>
      </c>
      <c r="N310" s="1" t="s">
        <v>1017</v>
      </c>
    </row>
    <row r="311" spans="1:14" x14ac:dyDescent="0.25">
      <c r="A311" s="1" t="s">
        <v>293</v>
      </c>
      <c r="B311" s="1" t="s">
        <v>1235</v>
      </c>
      <c r="C311" s="1" t="s">
        <v>3</v>
      </c>
      <c r="D311">
        <v>301131</v>
      </c>
      <c r="E311">
        <v>4820</v>
      </c>
      <c r="F311">
        <v>33124</v>
      </c>
      <c r="G311">
        <v>15</v>
      </c>
      <c r="H311" s="4">
        <v>103.8</v>
      </c>
      <c r="I311" s="2">
        <v>0.8</v>
      </c>
      <c r="J311">
        <v>5</v>
      </c>
      <c r="K311">
        <v>1</v>
      </c>
      <c r="L311">
        <v>67</v>
      </c>
      <c r="M311" s="1" t="s">
        <v>1021</v>
      </c>
      <c r="N311" s="1" t="s">
        <v>1019</v>
      </c>
    </row>
    <row r="312" spans="1:14" x14ac:dyDescent="0.25">
      <c r="A312" s="1" t="s">
        <v>294</v>
      </c>
      <c r="B312" s="1" t="s">
        <v>1236</v>
      </c>
      <c r="C312" s="1" t="s">
        <v>1037</v>
      </c>
      <c r="D312">
        <v>340489</v>
      </c>
      <c r="E312">
        <v>65541</v>
      </c>
      <c r="F312">
        <v>37454</v>
      </c>
      <c r="G312">
        <v>15</v>
      </c>
      <c r="H312" s="4">
        <v>103</v>
      </c>
      <c r="I312" s="2">
        <v>0.8</v>
      </c>
      <c r="J312">
        <v>0</v>
      </c>
      <c r="K312">
        <v>0</v>
      </c>
      <c r="L312">
        <v>71</v>
      </c>
      <c r="M312" s="1" t="s">
        <v>1014</v>
      </c>
      <c r="N312" s="1" t="s">
        <v>1017</v>
      </c>
    </row>
    <row r="313" spans="1:14" x14ac:dyDescent="0.25">
      <c r="A313" s="1" t="s">
        <v>295</v>
      </c>
      <c r="B313" s="1" t="s">
        <v>1113</v>
      </c>
      <c r="C313" s="1" t="s">
        <v>3</v>
      </c>
      <c r="D313">
        <v>505279</v>
      </c>
      <c r="E313">
        <v>56506</v>
      </c>
      <c r="F313">
        <v>55581</v>
      </c>
      <c r="G313">
        <v>15</v>
      </c>
      <c r="H313" s="4">
        <v>94.7</v>
      </c>
      <c r="I313" s="2">
        <v>0.6</v>
      </c>
      <c r="J313">
        <v>4</v>
      </c>
      <c r="K313">
        <v>1</v>
      </c>
      <c r="L313">
        <v>76</v>
      </c>
      <c r="M313" s="1" t="s">
        <v>1413</v>
      </c>
      <c r="N313" s="1" t="s">
        <v>1017</v>
      </c>
    </row>
    <row r="314" spans="1:14" x14ac:dyDescent="0.25">
      <c r="A314" s="1" t="s">
        <v>296</v>
      </c>
      <c r="B314" s="1" t="s">
        <v>1221</v>
      </c>
      <c r="C314" s="1" t="s">
        <v>9</v>
      </c>
      <c r="D314">
        <v>434082</v>
      </c>
      <c r="E314">
        <v>68249</v>
      </c>
      <c r="F314">
        <v>47749</v>
      </c>
      <c r="G314">
        <v>15</v>
      </c>
      <c r="H314" s="4">
        <v>89.999999999999986</v>
      </c>
      <c r="I314" s="2">
        <v>0.66666666666666696</v>
      </c>
      <c r="J314">
        <v>0</v>
      </c>
      <c r="K314">
        <v>0</v>
      </c>
      <c r="L314">
        <v>76</v>
      </c>
      <c r="M314" s="1" t="s">
        <v>1413</v>
      </c>
      <c r="N314" s="1" t="s">
        <v>1017</v>
      </c>
    </row>
    <row r="315" spans="1:14" x14ac:dyDescent="0.25">
      <c r="A315" s="1" t="s">
        <v>297</v>
      </c>
      <c r="B315" s="1" t="s">
        <v>1213</v>
      </c>
      <c r="C315" s="1" t="s">
        <v>37</v>
      </c>
      <c r="D315">
        <v>841396</v>
      </c>
      <c r="E315">
        <v>67581</v>
      </c>
      <c r="F315">
        <v>92554</v>
      </c>
      <c r="G315">
        <v>14</v>
      </c>
      <c r="H315" s="4">
        <v>91.399999999999991</v>
      </c>
      <c r="I315" s="2">
        <v>0.78571428571428603</v>
      </c>
      <c r="J315">
        <v>0</v>
      </c>
      <c r="K315">
        <v>0</v>
      </c>
      <c r="L315">
        <v>96</v>
      </c>
      <c r="M315" s="1" t="s">
        <v>1021</v>
      </c>
      <c r="N315" s="1" t="s">
        <v>1015</v>
      </c>
    </row>
    <row r="316" spans="1:14" x14ac:dyDescent="0.25">
      <c r="A316" s="1" t="s">
        <v>298</v>
      </c>
      <c r="B316" s="1" t="s">
        <v>1237</v>
      </c>
      <c r="C316" s="1" t="s">
        <v>9</v>
      </c>
      <c r="D316">
        <v>688218</v>
      </c>
      <c r="E316">
        <v>84837</v>
      </c>
      <c r="F316">
        <v>75704</v>
      </c>
      <c r="G316">
        <v>15</v>
      </c>
      <c r="H316" s="4">
        <v>94.4</v>
      </c>
      <c r="I316" s="2">
        <v>0.73333333333333295</v>
      </c>
      <c r="J316">
        <v>0</v>
      </c>
      <c r="K316">
        <v>0</v>
      </c>
      <c r="L316">
        <v>98</v>
      </c>
      <c r="M316" s="1" t="s">
        <v>1016</v>
      </c>
      <c r="N316" s="1" t="s">
        <v>1015</v>
      </c>
    </row>
    <row r="317" spans="1:14" x14ac:dyDescent="0.25">
      <c r="A317" s="1" t="s">
        <v>299</v>
      </c>
      <c r="B317" s="1" t="s">
        <v>1238</v>
      </c>
      <c r="C317" s="1" t="s">
        <v>1037</v>
      </c>
      <c r="D317">
        <v>567645</v>
      </c>
      <c r="E317">
        <v>52750</v>
      </c>
      <c r="F317">
        <v>62441</v>
      </c>
      <c r="G317">
        <v>15</v>
      </c>
      <c r="H317" s="4">
        <v>71.2</v>
      </c>
      <c r="I317" s="2">
        <v>0.53333333333333299</v>
      </c>
      <c r="J317">
        <v>0</v>
      </c>
      <c r="K317">
        <v>0</v>
      </c>
      <c r="L317">
        <v>63</v>
      </c>
      <c r="M317" s="1" t="s">
        <v>1021</v>
      </c>
      <c r="N317" s="1" t="s">
        <v>1019</v>
      </c>
    </row>
    <row r="318" spans="1:14" x14ac:dyDescent="0.25">
      <c r="A318" s="1" t="s">
        <v>302</v>
      </c>
      <c r="B318" s="1" t="s">
        <v>1034</v>
      </c>
      <c r="C318" s="1" t="s">
        <v>9</v>
      </c>
      <c r="D318">
        <v>494943</v>
      </c>
      <c r="E318">
        <v>42515</v>
      </c>
      <c r="F318">
        <v>54444</v>
      </c>
      <c r="G318">
        <v>15</v>
      </c>
      <c r="H318" s="4">
        <v>87</v>
      </c>
      <c r="I318" s="2">
        <v>0.73333333333333295</v>
      </c>
      <c r="J318">
        <v>13</v>
      </c>
      <c r="K318">
        <v>1</v>
      </c>
      <c r="L318">
        <v>61</v>
      </c>
      <c r="M318" s="1" t="s">
        <v>1018</v>
      </c>
      <c r="N318" s="1" t="s">
        <v>1019</v>
      </c>
    </row>
    <row r="319" spans="1:14" x14ac:dyDescent="0.25">
      <c r="A319" s="1" t="s">
        <v>303</v>
      </c>
      <c r="B319" s="1" t="s">
        <v>1240</v>
      </c>
      <c r="C319" s="1" t="s">
        <v>37</v>
      </c>
      <c r="D319">
        <v>236300</v>
      </c>
      <c r="E319">
        <v>78115</v>
      </c>
      <c r="F319">
        <v>25993</v>
      </c>
      <c r="G319">
        <v>15</v>
      </c>
      <c r="H319" s="4">
        <v>81.3</v>
      </c>
      <c r="I319" s="2">
        <v>0.53333333333333299</v>
      </c>
      <c r="J319">
        <v>0</v>
      </c>
      <c r="K319">
        <v>0</v>
      </c>
      <c r="L319">
        <v>89</v>
      </c>
      <c r="M319" s="1" t="s">
        <v>1018</v>
      </c>
      <c r="N319" s="1" t="s">
        <v>1020</v>
      </c>
    </row>
    <row r="320" spans="1:14" x14ac:dyDescent="0.25">
      <c r="A320" s="1" t="s">
        <v>305</v>
      </c>
      <c r="B320" s="1" t="s">
        <v>1241</v>
      </c>
      <c r="C320" s="1" t="s">
        <v>52</v>
      </c>
      <c r="D320">
        <v>335601</v>
      </c>
      <c r="E320">
        <v>41181</v>
      </c>
      <c r="F320">
        <v>36916</v>
      </c>
      <c r="G320">
        <v>15</v>
      </c>
      <c r="H320" s="4">
        <v>105</v>
      </c>
      <c r="I320" s="2">
        <v>0.73333333333333295</v>
      </c>
      <c r="J320">
        <v>0</v>
      </c>
      <c r="K320">
        <v>0</v>
      </c>
      <c r="L320">
        <v>57</v>
      </c>
      <c r="M320" s="1" t="s">
        <v>1014</v>
      </c>
      <c r="N320" s="1" t="s">
        <v>1019</v>
      </c>
    </row>
    <row r="321" spans="1:14" x14ac:dyDescent="0.25">
      <c r="A321" s="1" t="s">
        <v>306</v>
      </c>
      <c r="B321" s="1" t="s">
        <v>1076</v>
      </c>
      <c r="C321" s="1" t="s">
        <v>5</v>
      </c>
      <c r="D321">
        <v>734351</v>
      </c>
      <c r="E321">
        <v>5431</v>
      </c>
      <c r="F321">
        <v>80779</v>
      </c>
      <c r="G321">
        <v>15</v>
      </c>
      <c r="H321" s="4">
        <v>98.399999999999991</v>
      </c>
      <c r="I321" s="2">
        <v>0.6</v>
      </c>
      <c r="J321">
        <v>0</v>
      </c>
      <c r="K321">
        <v>0</v>
      </c>
      <c r="L321">
        <v>66</v>
      </c>
      <c r="M321" s="1" t="s">
        <v>1413</v>
      </c>
      <c r="N321" s="1" t="s">
        <v>1019</v>
      </c>
    </row>
    <row r="322" spans="1:14" x14ac:dyDescent="0.25">
      <c r="A322" s="1" t="s">
        <v>307</v>
      </c>
      <c r="B322" s="1" t="s">
        <v>1153</v>
      </c>
      <c r="C322" s="1" t="s">
        <v>27</v>
      </c>
      <c r="D322">
        <v>794897</v>
      </c>
      <c r="E322">
        <v>3522</v>
      </c>
      <c r="F322">
        <v>87439</v>
      </c>
      <c r="G322">
        <v>15</v>
      </c>
      <c r="H322" s="4">
        <v>94.899999999999991</v>
      </c>
      <c r="I322" s="2">
        <v>0.8</v>
      </c>
      <c r="J322">
        <v>0</v>
      </c>
      <c r="K322">
        <v>0</v>
      </c>
      <c r="L322">
        <v>90</v>
      </c>
      <c r="M322" s="1" t="s">
        <v>1021</v>
      </c>
      <c r="N322" s="1" t="s">
        <v>1015</v>
      </c>
    </row>
    <row r="323" spans="1:14" x14ac:dyDescent="0.25">
      <c r="A323" s="1" t="s">
        <v>308</v>
      </c>
      <c r="B323" s="1" t="s">
        <v>1159</v>
      </c>
      <c r="C323" s="1" t="s">
        <v>7</v>
      </c>
      <c r="D323">
        <v>842898</v>
      </c>
      <c r="E323">
        <v>65450</v>
      </c>
      <c r="F323">
        <v>92719</v>
      </c>
      <c r="G323">
        <v>15</v>
      </c>
      <c r="H323" s="4">
        <v>111.8</v>
      </c>
      <c r="I323" s="2">
        <v>0.86666666666666703</v>
      </c>
      <c r="J323">
        <v>0</v>
      </c>
      <c r="K323">
        <v>0</v>
      </c>
      <c r="L323">
        <v>86</v>
      </c>
      <c r="M323" s="1" t="s">
        <v>1413</v>
      </c>
      <c r="N323" s="1" t="s">
        <v>1020</v>
      </c>
    </row>
    <row r="324" spans="1:14" x14ac:dyDescent="0.25">
      <c r="A324" s="1" t="s">
        <v>360</v>
      </c>
      <c r="B324" s="1" t="s">
        <v>1089</v>
      </c>
      <c r="C324" s="1" t="s">
        <v>12</v>
      </c>
      <c r="D324">
        <v>426678</v>
      </c>
      <c r="E324">
        <v>67559</v>
      </c>
      <c r="F324">
        <v>46935</v>
      </c>
      <c r="G324">
        <v>15</v>
      </c>
      <c r="H324" s="4">
        <v>95.9</v>
      </c>
      <c r="I324" s="2">
        <v>0.6</v>
      </c>
      <c r="J324">
        <v>11</v>
      </c>
      <c r="K324">
        <v>1</v>
      </c>
      <c r="L324">
        <v>84</v>
      </c>
      <c r="M324" s="1" t="s">
        <v>1413</v>
      </c>
      <c r="N324" s="1" t="s">
        <v>1020</v>
      </c>
    </row>
    <row r="325" spans="1:14" x14ac:dyDescent="0.25">
      <c r="A325" s="1" t="s">
        <v>310</v>
      </c>
      <c r="B325" s="1" t="s">
        <v>1243</v>
      </c>
      <c r="C325" s="1" t="s">
        <v>9</v>
      </c>
      <c r="D325">
        <v>331328</v>
      </c>
      <c r="E325">
        <v>31186</v>
      </c>
      <c r="F325">
        <v>36446</v>
      </c>
      <c r="G325">
        <v>15</v>
      </c>
      <c r="H325" s="4">
        <v>105.80000000000001</v>
      </c>
      <c r="I325" s="2">
        <v>0.53333333333333299</v>
      </c>
      <c r="J325">
        <v>0</v>
      </c>
      <c r="K325">
        <v>0</v>
      </c>
      <c r="L325">
        <v>98</v>
      </c>
      <c r="M325" s="1" t="s">
        <v>1016</v>
      </c>
      <c r="N325" s="1" t="s">
        <v>1015</v>
      </c>
    </row>
    <row r="326" spans="1:14" x14ac:dyDescent="0.25">
      <c r="A326" s="1" t="s">
        <v>312</v>
      </c>
      <c r="B326" s="1" t="s">
        <v>1244</v>
      </c>
      <c r="C326" s="1" t="s">
        <v>7</v>
      </c>
      <c r="D326">
        <v>437144</v>
      </c>
      <c r="E326">
        <v>88472</v>
      </c>
      <c r="F326">
        <v>48086</v>
      </c>
      <c r="G326">
        <v>15</v>
      </c>
      <c r="H326" s="4">
        <v>122.30000000000001</v>
      </c>
      <c r="I326" s="2">
        <v>0.73333333333333295</v>
      </c>
      <c r="J326">
        <v>0</v>
      </c>
      <c r="K326">
        <v>0</v>
      </c>
      <c r="L326">
        <v>83</v>
      </c>
      <c r="M326" s="1" t="s">
        <v>1014</v>
      </c>
      <c r="N326" s="1" t="s">
        <v>1020</v>
      </c>
    </row>
    <row r="327" spans="1:14" x14ac:dyDescent="0.25">
      <c r="A327" s="1" t="s">
        <v>352</v>
      </c>
      <c r="B327" s="1" t="s">
        <v>1043</v>
      </c>
      <c r="C327" s="1" t="s">
        <v>3</v>
      </c>
      <c r="D327">
        <v>453927</v>
      </c>
      <c r="E327">
        <v>39456</v>
      </c>
      <c r="F327">
        <v>49932</v>
      </c>
      <c r="G327">
        <v>15</v>
      </c>
      <c r="H327" s="4">
        <v>111.3</v>
      </c>
      <c r="I327" s="2">
        <v>0.93333333333333302</v>
      </c>
      <c r="J327">
        <v>8</v>
      </c>
      <c r="K327">
        <v>1</v>
      </c>
      <c r="L327">
        <v>56</v>
      </c>
      <c r="M327" s="1" t="s">
        <v>1018</v>
      </c>
      <c r="N327" s="1" t="s">
        <v>1019</v>
      </c>
    </row>
    <row r="328" spans="1:14" x14ac:dyDescent="0.25">
      <c r="A328" s="1" t="s">
        <v>313</v>
      </c>
      <c r="B328" s="1" t="s">
        <v>1245</v>
      </c>
      <c r="C328" s="1" t="s">
        <v>5</v>
      </c>
      <c r="D328">
        <v>814514</v>
      </c>
      <c r="E328">
        <v>68217</v>
      </c>
      <c r="F328">
        <v>89597</v>
      </c>
      <c r="G328">
        <v>15</v>
      </c>
      <c r="H328" s="4">
        <v>82.40000000000002</v>
      </c>
      <c r="I328" s="2">
        <v>0.6</v>
      </c>
      <c r="J328">
        <v>7</v>
      </c>
      <c r="K328">
        <v>1</v>
      </c>
      <c r="L328">
        <v>90</v>
      </c>
      <c r="M328" s="1" t="s">
        <v>1014</v>
      </c>
      <c r="N328" s="1" t="s">
        <v>1015</v>
      </c>
    </row>
    <row r="329" spans="1:14" x14ac:dyDescent="0.25">
      <c r="A329" s="1" t="s">
        <v>314</v>
      </c>
      <c r="B329" s="1" t="s">
        <v>1122</v>
      </c>
      <c r="C329" s="1" t="s">
        <v>1037</v>
      </c>
      <c r="D329">
        <v>647583</v>
      </c>
      <c r="E329">
        <v>5863</v>
      </c>
      <c r="F329">
        <v>71234</v>
      </c>
      <c r="G329">
        <v>15</v>
      </c>
      <c r="H329" s="4">
        <v>74.5</v>
      </c>
      <c r="I329" s="2">
        <v>0.53333333333333299</v>
      </c>
      <c r="J329">
        <v>0</v>
      </c>
      <c r="K329">
        <v>0</v>
      </c>
      <c r="L329">
        <v>76</v>
      </c>
      <c r="M329" s="1" t="s">
        <v>1014</v>
      </c>
      <c r="N329" s="1" t="s">
        <v>1017</v>
      </c>
    </row>
    <row r="330" spans="1:14" x14ac:dyDescent="0.25">
      <c r="A330" s="1" t="s">
        <v>316</v>
      </c>
      <c r="B330" s="1" t="s">
        <v>1167</v>
      </c>
      <c r="C330" s="1" t="s">
        <v>37</v>
      </c>
      <c r="D330">
        <v>567505</v>
      </c>
      <c r="E330">
        <v>62322</v>
      </c>
      <c r="F330">
        <v>62426</v>
      </c>
      <c r="G330">
        <v>15</v>
      </c>
      <c r="H330" s="4">
        <v>116.19999999999999</v>
      </c>
      <c r="I330" s="2">
        <v>0.66666666666666696</v>
      </c>
      <c r="J330">
        <v>0</v>
      </c>
      <c r="K330">
        <v>0</v>
      </c>
      <c r="L330">
        <v>87</v>
      </c>
      <c r="M330" s="1" t="s">
        <v>1016</v>
      </c>
      <c r="N330" s="1" t="s">
        <v>1020</v>
      </c>
    </row>
    <row r="331" spans="1:14" x14ac:dyDescent="0.25">
      <c r="A331" s="1" t="s">
        <v>318</v>
      </c>
      <c r="B331" s="1" t="s">
        <v>1248</v>
      </c>
      <c r="C331" s="1" t="s">
        <v>27</v>
      </c>
      <c r="D331">
        <v>222389</v>
      </c>
      <c r="E331">
        <v>37582</v>
      </c>
      <c r="F331">
        <v>24463</v>
      </c>
      <c r="G331">
        <v>15</v>
      </c>
      <c r="H331" s="4">
        <v>104.9</v>
      </c>
      <c r="I331" s="2">
        <v>0.73333333333333295</v>
      </c>
      <c r="J331">
        <v>0</v>
      </c>
      <c r="K331">
        <v>0</v>
      </c>
      <c r="L331">
        <v>97</v>
      </c>
      <c r="M331" s="1" t="s">
        <v>1016</v>
      </c>
      <c r="N331" s="1" t="s">
        <v>1015</v>
      </c>
    </row>
    <row r="332" spans="1:14" x14ac:dyDescent="0.25">
      <c r="A332" s="1" t="s">
        <v>320</v>
      </c>
      <c r="B332" s="1" t="s">
        <v>1144</v>
      </c>
      <c r="C332" s="1" t="s">
        <v>7</v>
      </c>
      <c r="D332">
        <v>650887</v>
      </c>
      <c r="E332">
        <v>81411</v>
      </c>
      <c r="F332">
        <v>71598</v>
      </c>
      <c r="G332">
        <v>15</v>
      </c>
      <c r="H332" s="4">
        <v>104.79999999999998</v>
      </c>
      <c r="I332" s="2">
        <v>0.66666666666666696</v>
      </c>
      <c r="J332">
        <v>0</v>
      </c>
      <c r="K332">
        <v>0</v>
      </c>
      <c r="L332">
        <v>100</v>
      </c>
      <c r="M332" s="1" t="s">
        <v>1413</v>
      </c>
      <c r="N332" s="1" t="s">
        <v>1015</v>
      </c>
    </row>
    <row r="333" spans="1:14" x14ac:dyDescent="0.25">
      <c r="A333" s="1" t="s">
        <v>321</v>
      </c>
      <c r="B333" s="1" t="s">
        <v>1230</v>
      </c>
      <c r="C333" s="1" t="s">
        <v>3</v>
      </c>
      <c r="D333">
        <v>339179</v>
      </c>
      <c r="E333">
        <v>79386</v>
      </c>
      <c r="F333">
        <v>37310</v>
      </c>
      <c r="G333">
        <v>15</v>
      </c>
      <c r="H333" s="4">
        <v>104.8</v>
      </c>
      <c r="I333" s="2">
        <v>0.8</v>
      </c>
      <c r="J333">
        <v>0</v>
      </c>
      <c r="K333">
        <v>0</v>
      </c>
      <c r="L333">
        <v>79</v>
      </c>
      <c r="M333" s="1" t="s">
        <v>1014</v>
      </c>
      <c r="N333" s="1" t="s">
        <v>1017</v>
      </c>
    </row>
    <row r="334" spans="1:14" x14ac:dyDescent="0.25">
      <c r="A334" s="1" t="s">
        <v>322</v>
      </c>
      <c r="B334" s="1" t="s">
        <v>1250</v>
      </c>
      <c r="C334" s="1" t="s">
        <v>3</v>
      </c>
      <c r="D334">
        <v>371999</v>
      </c>
      <c r="E334">
        <v>69279</v>
      </c>
      <c r="F334">
        <v>40920</v>
      </c>
      <c r="G334">
        <v>14</v>
      </c>
      <c r="H334" s="4">
        <v>96.700000000000017</v>
      </c>
      <c r="I334" s="2">
        <v>0.78571428571428603</v>
      </c>
      <c r="J334">
        <v>0</v>
      </c>
      <c r="K334">
        <v>0</v>
      </c>
      <c r="L334">
        <v>74</v>
      </c>
      <c r="M334" s="1" t="s">
        <v>1014</v>
      </c>
      <c r="N334" s="1" t="s">
        <v>1017</v>
      </c>
    </row>
    <row r="335" spans="1:14" x14ac:dyDescent="0.25">
      <c r="A335" s="1" t="s">
        <v>323</v>
      </c>
      <c r="B335" s="1" t="s">
        <v>1217</v>
      </c>
      <c r="C335" s="1" t="s">
        <v>7</v>
      </c>
      <c r="D335">
        <v>361957</v>
      </c>
      <c r="E335">
        <v>26902</v>
      </c>
      <c r="F335">
        <v>39815</v>
      </c>
      <c r="G335">
        <v>15</v>
      </c>
      <c r="H335" s="4">
        <v>103.89999999999999</v>
      </c>
      <c r="I335" s="2">
        <v>0.73333333333333295</v>
      </c>
      <c r="J335">
        <v>0</v>
      </c>
      <c r="K335">
        <v>0</v>
      </c>
      <c r="L335">
        <v>76</v>
      </c>
      <c r="M335" s="1" t="s">
        <v>1413</v>
      </c>
      <c r="N335" s="1" t="s">
        <v>1017</v>
      </c>
    </row>
    <row r="336" spans="1:14" x14ac:dyDescent="0.25">
      <c r="A336" s="1" t="s">
        <v>324</v>
      </c>
      <c r="B336" s="1" t="s">
        <v>1090</v>
      </c>
      <c r="C336" s="1" t="s">
        <v>27</v>
      </c>
      <c r="D336">
        <v>729650</v>
      </c>
      <c r="E336">
        <v>69354</v>
      </c>
      <c r="F336">
        <v>80262</v>
      </c>
      <c r="G336">
        <v>15</v>
      </c>
      <c r="H336" s="4">
        <v>102.5</v>
      </c>
      <c r="I336" s="2">
        <v>0.8</v>
      </c>
      <c r="J336">
        <v>2</v>
      </c>
      <c r="K336">
        <v>1</v>
      </c>
      <c r="L336">
        <v>96</v>
      </c>
      <c r="M336" s="1" t="s">
        <v>1014</v>
      </c>
      <c r="N336" s="1" t="s">
        <v>1015</v>
      </c>
    </row>
    <row r="337" spans="1:14" x14ac:dyDescent="0.25">
      <c r="A337" s="1" t="s">
        <v>325</v>
      </c>
      <c r="B337" s="1" t="s">
        <v>1243</v>
      </c>
      <c r="C337" s="1" t="s">
        <v>52</v>
      </c>
      <c r="D337">
        <v>448542</v>
      </c>
      <c r="E337">
        <v>57985</v>
      </c>
      <c r="F337">
        <v>49340</v>
      </c>
      <c r="G337">
        <v>14</v>
      </c>
      <c r="H337" s="4">
        <v>99.200000000000017</v>
      </c>
      <c r="I337" s="2">
        <v>0.78571428571428603</v>
      </c>
      <c r="J337">
        <v>0</v>
      </c>
      <c r="K337">
        <v>0</v>
      </c>
      <c r="L337">
        <v>61</v>
      </c>
      <c r="M337" s="1" t="s">
        <v>1021</v>
      </c>
      <c r="N337" s="1" t="s">
        <v>1019</v>
      </c>
    </row>
    <row r="338" spans="1:14" x14ac:dyDescent="0.25">
      <c r="A338" s="1" t="s">
        <v>326</v>
      </c>
      <c r="B338" s="1" t="s">
        <v>1148</v>
      </c>
      <c r="C338" s="1" t="s">
        <v>1037</v>
      </c>
      <c r="D338">
        <v>309157</v>
      </c>
      <c r="E338">
        <v>16866</v>
      </c>
      <c r="F338">
        <v>34007</v>
      </c>
      <c r="G338">
        <v>15</v>
      </c>
      <c r="H338" s="4">
        <v>116.30000000000001</v>
      </c>
      <c r="I338" s="2">
        <v>0.86666666666666703</v>
      </c>
      <c r="J338">
        <v>5</v>
      </c>
      <c r="K338">
        <v>1</v>
      </c>
      <c r="L338">
        <v>98</v>
      </c>
      <c r="M338" s="1" t="s">
        <v>1021</v>
      </c>
      <c r="N338" s="1" t="s">
        <v>1015</v>
      </c>
    </row>
    <row r="339" spans="1:14" x14ac:dyDescent="0.25">
      <c r="A339" s="1" t="s">
        <v>327</v>
      </c>
      <c r="B339" s="1" t="s">
        <v>1207</v>
      </c>
      <c r="C339" s="1" t="s">
        <v>27</v>
      </c>
      <c r="D339">
        <v>743059</v>
      </c>
      <c r="E339">
        <v>73394</v>
      </c>
      <c r="F339">
        <v>81736</v>
      </c>
      <c r="G339">
        <v>14</v>
      </c>
      <c r="H339" s="4">
        <v>78.2</v>
      </c>
      <c r="I339" s="2">
        <v>0.5</v>
      </c>
      <c r="J339">
        <v>0</v>
      </c>
      <c r="K339">
        <v>0</v>
      </c>
      <c r="L339">
        <v>90</v>
      </c>
      <c r="M339" s="1" t="s">
        <v>1016</v>
      </c>
      <c r="N339" s="1" t="s">
        <v>1015</v>
      </c>
    </row>
    <row r="340" spans="1:14" x14ac:dyDescent="0.25">
      <c r="A340" s="1" t="s">
        <v>329</v>
      </c>
      <c r="B340" s="1" t="s">
        <v>1252</v>
      </c>
      <c r="C340" s="1" t="s">
        <v>37</v>
      </c>
      <c r="D340">
        <v>624872</v>
      </c>
      <c r="E340">
        <v>48944</v>
      </c>
      <c r="F340">
        <v>68736</v>
      </c>
      <c r="G340">
        <v>15</v>
      </c>
      <c r="H340" s="4">
        <v>108.8</v>
      </c>
      <c r="I340" s="2">
        <v>0.8</v>
      </c>
      <c r="J340">
        <v>0</v>
      </c>
      <c r="K340">
        <v>0</v>
      </c>
      <c r="L340">
        <v>98</v>
      </c>
      <c r="M340" s="1" t="s">
        <v>1413</v>
      </c>
      <c r="N340" s="1" t="s">
        <v>1015</v>
      </c>
    </row>
    <row r="341" spans="1:14" x14ac:dyDescent="0.25">
      <c r="A341" s="1" t="s">
        <v>330</v>
      </c>
      <c r="B341" s="1" t="s">
        <v>1253</v>
      </c>
      <c r="C341" s="1" t="s">
        <v>7</v>
      </c>
      <c r="D341">
        <v>739837</v>
      </c>
      <c r="E341">
        <v>85835</v>
      </c>
      <c r="F341">
        <v>81382</v>
      </c>
      <c r="G341">
        <v>15</v>
      </c>
      <c r="H341" s="4">
        <v>101.7</v>
      </c>
      <c r="I341" s="2">
        <v>0.8</v>
      </c>
      <c r="J341">
        <v>0</v>
      </c>
      <c r="K341">
        <v>0</v>
      </c>
      <c r="L341">
        <v>57</v>
      </c>
      <c r="M341" s="1" t="s">
        <v>1014</v>
      </c>
      <c r="N341" s="1" t="s">
        <v>1019</v>
      </c>
    </row>
    <row r="342" spans="1:14" x14ac:dyDescent="0.25">
      <c r="A342" s="1" t="s">
        <v>332</v>
      </c>
      <c r="B342" s="1" t="s">
        <v>1030</v>
      </c>
      <c r="C342" s="1" t="s">
        <v>3</v>
      </c>
      <c r="D342">
        <v>732254</v>
      </c>
      <c r="E342">
        <v>48662</v>
      </c>
      <c r="G342">
        <v>15</v>
      </c>
      <c r="H342" s="4">
        <v>100</v>
      </c>
      <c r="I342" s="2">
        <v>0.66666666666666696</v>
      </c>
      <c r="J342">
        <v>0</v>
      </c>
      <c r="K342">
        <v>0</v>
      </c>
      <c r="L342">
        <v>64</v>
      </c>
      <c r="M342" s="1" t="s">
        <v>1021</v>
      </c>
      <c r="N342" s="1" t="s">
        <v>1019</v>
      </c>
    </row>
    <row r="343" spans="1:14" x14ac:dyDescent="0.25">
      <c r="A343" s="1" t="s">
        <v>333</v>
      </c>
      <c r="B343" s="1" t="s">
        <v>1255</v>
      </c>
      <c r="C343" s="1" t="s">
        <v>23</v>
      </c>
      <c r="D343">
        <v>441493</v>
      </c>
      <c r="E343">
        <v>12822</v>
      </c>
      <c r="F343">
        <v>48564</v>
      </c>
      <c r="G343">
        <v>15</v>
      </c>
      <c r="H343" s="4">
        <v>97.5</v>
      </c>
      <c r="I343" s="2">
        <v>0.66666666666666696</v>
      </c>
      <c r="J343">
        <v>0</v>
      </c>
      <c r="K343">
        <v>0</v>
      </c>
      <c r="L343">
        <v>97</v>
      </c>
      <c r="M343" s="1" t="s">
        <v>1018</v>
      </c>
      <c r="N343" s="1" t="s">
        <v>1015</v>
      </c>
    </row>
    <row r="344" spans="1:14" x14ac:dyDescent="0.25">
      <c r="A344" s="1" t="s">
        <v>334</v>
      </c>
      <c r="B344" s="1" t="s">
        <v>1138</v>
      </c>
      <c r="C344" s="1" t="s">
        <v>23</v>
      </c>
      <c r="D344">
        <v>741551</v>
      </c>
      <c r="E344">
        <v>89496</v>
      </c>
      <c r="F344">
        <v>81571</v>
      </c>
      <c r="G344">
        <v>15</v>
      </c>
      <c r="H344" s="4">
        <v>96.800000000000011</v>
      </c>
      <c r="I344" s="2">
        <v>0.66666666666666696</v>
      </c>
      <c r="J344">
        <v>0</v>
      </c>
      <c r="K344">
        <v>0</v>
      </c>
      <c r="L344">
        <v>76</v>
      </c>
      <c r="M344" s="1" t="s">
        <v>1413</v>
      </c>
      <c r="N344" s="1" t="s">
        <v>1017</v>
      </c>
    </row>
    <row r="345" spans="1:14" x14ac:dyDescent="0.25">
      <c r="A345" s="1" t="s">
        <v>336</v>
      </c>
      <c r="B345" s="1" t="s">
        <v>1256</v>
      </c>
      <c r="C345" s="1" t="s">
        <v>3</v>
      </c>
      <c r="D345">
        <v>719301</v>
      </c>
      <c r="E345">
        <v>83926</v>
      </c>
      <c r="F345">
        <v>79123</v>
      </c>
      <c r="G345">
        <v>15</v>
      </c>
      <c r="H345" s="4">
        <v>112.69999999999999</v>
      </c>
      <c r="I345" s="2">
        <v>0.86666666666666703</v>
      </c>
      <c r="J345">
        <v>0</v>
      </c>
      <c r="K345">
        <v>0</v>
      </c>
      <c r="L345">
        <v>91</v>
      </c>
      <c r="M345" s="1" t="s">
        <v>1021</v>
      </c>
      <c r="N345" s="1" t="s">
        <v>1015</v>
      </c>
    </row>
    <row r="346" spans="1:14" x14ac:dyDescent="0.25">
      <c r="A346" s="1" t="s">
        <v>338</v>
      </c>
      <c r="B346" s="1" t="s">
        <v>1258</v>
      </c>
      <c r="C346" s="1" t="s">
        <v>5</v>
      </c>
      <c r="D346">
        <v>391419</v>
      </c>
      <c r="E346">
        <v>940</v>
      </c>
      <c r="F346">
        <v>43056</v>
      </c>
      <c r="G346">
        <v>15</v>
      </c>
      <c r="H346" s="4">
        <v>114.10000000000002</v>
      </c>
      <c r="I346" s="2">
        <v>0.73333333333333295</v>
      </c>
      <c r="J346">
        <v>0</v>
      </c>
      <c r="K346">
        <v>0</v>
      </c>
      <c r="L346">
        <v>78</v>
      </c>
      <c r="M346" s="1" t="s">
        <v>1021</v>
      </c>
      <c r="N346" s="1" t="s">
        <v>1017</v>
      </c>
    </row>
    <row r="347" spans="1:14" x14ac:dyDescent="0.25">
      <c r="A347" s="1" t="s">
        <v>339</v>
      </c>
      <c r="B347" s="1" t="s">
        <v>1259</v>
      </c>
      <c r="C347" s="1" t="s">
        <v>1037</v>
      </c>
      <c r="D347">
        <v>536180</v>
      </c>
      <c r="E347">
        <v>44548</v>
      </c>
      <c r="F347">
        <v>58980</v>
      </c>
      <c r="G347">
        <v>15</v>
      </c>
      <c r="H347" s="4">
        <v>120</v>
      </c>
      <c r="I347" s="2">
        <v>0.86666666666666703</v>
      </c>
      <c r="J347">
        <v>0</v>
      </c>
      <c r="K347">
        <v>0</v>
      </c>
      <c r="L347">
        <v>99</v>
      </c>
      <c r="M347" s="1" t="s">
        <v>1021</v>
      </c>
      <c r="N347" s="1" t="s">
        <v>1015</v>
      </c>
    </row>
    <row r="348" spans="1:14" x14ac:dyDescent="0.25">
      <c r="A348" s="1" t="s">
        <v>340</v>
      </c>
      <c r="B348" s="1" t="s">
        <v>1160</v>
      </c>
      <c r="C348" s="1" t="s">
        <v>7</v>
      </c>
      <c r="D348">
        <v>727311</v>
      </c>
      <c r="E348">
        <v>48154</v>
      </c>
      <c r="F348">
        <v>80004</v>
      </c>
      <c r="G348">
        <v>15</v>
      </c>
      <c r="H348" s="4">
        <v>113.6</v>
      </c>
      <c r="I348" s="2">
        <v>0.93333333333333302</v>
      </c>
      <c r="J348">
        <v>0</v>
      </c>
      <c r="K348">
        <v>0</v>
      </c>
      <c r="L348">
        <v>57</v>
      </c>
      <c r="M348" s="1" t="s">
        <v>1413</v>
      </c>
      <c r="N348" s="1" t="s">
        <v>1019</v>
      </c>
    </row>
    <row r="349" spans="1:14" x14ac:dyDescent="0.25">
      <c r="A349" s="1" t="s">
        <v>341</v>
      </c>
      <c r="B349" s="1" t="s">
        <v>1152</v>
      </c>
      <c r="C349" s="1" t="s">
        <v>9</v>
      </c>
      <c r="D349">
        <v>833195</v>
      </c>
      <c r="E349">
        <v>29791</v>
      </c>
      <c r="F349">
        <v>91651</v>
      </c>
      <c r="G349">
        <v>14</v>
      </c>
      <c r="H349" s="4">
        <v>106.7</v>
      </c>
      <c r="I349" s="2">
        <v>0.71428571428571397</v>
      </c>
      <c r="J349">
        <v>6</v>
      </c>
      <c r="K349">
        <v>1</v>
      </c>
      <c r="L349">
        <v>95</v>
      </c>
      <c r="M349" s="1" t="s">
        <v>1018</v>
      </c>
      <c r="N349" s="1" t="s">
        <v>1015</v>
      </c>
    </row>
    <row r="350" spans="1:14" x14ac:dyDescent="0.25">
      <c r="A350" s="1" t="s">
        <v>342</v>
      </c>
      <c r="B350" s="1" t="s">
        <v>1032</v>
      </c>
      <c r="C350" s="1" t="s">
        <v>7</v>
      </c>
      <c r="D350">
        <v>442851</v>
      </c>
      <c r="E350">
        <v>78573</v>
      </c>
      <c r="F350">
        <v>48714</v>
      </c>
      <c r="G350">
        <v>15</v>
      </c>
      <c r="H350" s="4">
        <v>94.899999999999991</v>
      </c>
      <c r="I350" s="2">
        <v>0.66666666666666696</v>
      </c>
      <c r="J350">
        <v>0</v>
      </c>
      <c r="K350">
        <v>0</v>
      </c>
      <c r="L350">
        <v>77</v>
      </c>
      <c r="M350" s="1" t="s">
        <v>1413</v>
      </c>
      <c r="N350" s="1" t="s">
        <v>1017</v>
      </c>
    </row>
    <row r="351" spans="1:14" x14ac:dyDescent="0.25">
      <c r="A351" s="1" t="s">
        <v>343</v>
      </c>
      <c r="B351" s="1" t="s">
        <v>1260</v>
      </c>
      <c r="C351" s="1" t="s">
        <v>5</v>
      </c>
      <c r="D351">
        <v>711916</v>
      </c>
      <c r="E351">
        <v>66097</v>
      </c>
      <c r="F351">
        <v>78311</v>
      </c>
      <c r="G351">
        <v>15</v>
      </c>
      <c r="H351" s="4">
        <v>103.70000000000002</v>
      </c>
      <c r="I351" s="2">
        <v>0.6</v>
      </c>
      <c r="J351">
        <v>0</v>
      </c>
      <c r="K351">
        <v>0</v>
      </c>
      <c r="L351">
        <v>67</v>
      </c>
      <c r="M351" s="1" t="s">
        <v>1016</v>
      </c>
      <c r="N351" s="1" t="s">
        <v>1019</v>
      </c>
    </row>
    <row r="352" spans="1:14" x14ac:dyDescent="0.25">
      <c r="A352" s="1" t="s">
        <v>345</v>
      </c>
      <c r="B352" s="1" t="s">
        <v>1193</v>
      </c>
      <c r="C352" s="1" t="s">
        <v>23</v>
      </c>
      <c r="D352">
        <v>570461</v>
      </c>
      <c r="E352">
        <v>289</v>
      </c>
      <c r="F352">
        <v>62751</v>
      </c>
      <c r="G352">
        <v>14</v>
      </c>
      <c r="H352" s="4">
        <v>100.9</v>
      </c>
      <c r="I352" s="2">
        <v>0.85714285714285698</v>
      </c>
      <c r="J352">
        <v>0</v>
      </c>
      <c r="K352">
        <v>0</v>
      </c>
      <c r="L352">
        <v>56</v>
      </c>
      <c r="M352" s="1" t="s">
        <v>1413</v>
      </c>
      <c r="N352" s="1" t="s">
        <v>1019</v>
      </c>
    </row>
    <row r="353" spans="1:14" x14ac:dyDescent="0.25">
      <c r="A353" s="1" t="s">
        <v>346</v>
      </c>
      <c r="B353" s="1" t="s">
        <v>1262</v>
      </c>
      <c r="C353" s="1" t="s">
        <v>37</v>
      </c>
      <c r="D353">
        <v>649009</v>
      </c>
      <c r="E353">
        <v>36134</v>
      </c>
      <c r="G353">
        <v>15</v>
      </c>
      <c r="H353" s="4">
        <v>103.39999999999999</v>
      </c>
      <c r="I353" s="2">
        <v>0.8</v>
      </c>
      <c r="J353">
        <v>0</v>
      </c>
      <c r="K353">
        <v>0</v>
      </c>
      <c r="L353">
        <v>67</v>
      </c>
      <c r="M353" s="1" t="s">
        <v>1018</v>
      </c>
      <c r="N353" s="1" t="s">
        <v>1019</v>
      </c>
    </row>
    <row r="354" spans="1:14" x14ac:dyDescent="0.25">
      <c r="A354" s="1" t="s">
        <v>348</v>
      </c>
      <c r="B354" s="1" t="s">
        <v>1028</v>
      </c>
      <c r="C354" s="1" t="s">
        <v>23</v>
      </c>
      <c r="D354">
        <v>633799</v>
      </c>
      <c r="E354">
        <v>29008</v>
      </c>
      <c r="F354">
        <v>69718</v>
      </c>
      <c r="G354">
        <v>15</v>
      </c>
      <c r="H354" s="4">
        <v>111.70000000000002</v>
      </c>
      <c r="I354" s="2">
        <v>0.93333333333333302</v>
      </c>
      <c r="J354">
        <v>0</v>
      </c>
      <c r="K354">
        <v>0</v>
      </c>
      <c r="L354">
        <v>63</v>
      </c>
      <c r="M354" s="1" t="s">
        <v>1016</v>
      </c>
      <c r="N354" s="1" t="s">
        <v>1019</v>
      </c>
    </row>
    <row r="355" spans="1:14" x14ac:dyDescent="0.25">
      <c r="A355" s="1" t="s">
        <v>378</v>
      </c>
      <c r="B355" s="1" t="s">
        <v>1083</v>
      </c>
      <c r="C355" s="1" t="s">
        <v>7</v>
      </c>
      <c r="D355">
        <v>364408</v>
      </c>
      <c r="E355">
        <v>5529</v>
      </c>
      <c r="F355">
        <v>40085</v>
      </c>
      <c r="G355">
        <v>15</v>
      </c>
      <c r="H355" s="4">
        <v>105.3</v>
      </c>
      <c r="I355" s="2">
        <v>0.86666666666666703</v>
      </c>
      <c r="J355">
        <v>8</v>
      </c>
      <c r="K355">
        <v>1</v>
      </c>
      <c r="L355">
        <v>82</v>
      </c>
      <c r="M355" s="1" t="s">
        <v>1014</v>
      </c>
      <c r="N355" s="1" t="s">
        <v>1020</v>
      </c>
    </row>
    <row r="356" spans="1:14" x14ac:dyDescent="0.25">
      <c r="A356" s="1" t="s">
        <v>351</v>
      </c>
      <c r="B356" s="1" t="s">
        <v>1221</v>
      </c>
      <c r="C356" s="1" t="s">
        <v>23</v>
      </c>
      <c r="D356">
        <v>520495</v>
      </c>
      <c r="E356">
        <v>6789</v>
      </c>
      <c r="F356">
        <v>57254</v>
      </c>
      <c r="G356">
        <v>15</v>
      </c>
      <c r="H356" s="4">
        <v>76.300000000000011</v>
      </c>
      <c r="I356" s="2">
        <v>0.53333333333333299</v>
      </c>
      <c r="J356">
        <v>0</v>
      </c>
      <c r="K356">
        <v>0</v>
      </c>
      <c r="L356">
        <v>84</v>
      </c>
      <c r="M356" s="1" t="s">
        <v>1014</v>
      </c>
      <c r="N356" s="1" t="s">
        <v>1020</v>
      </c>
    </row>
    <row r="357" spans="1:14" x14ac:dyDescent="0.25">
      <c r="A357" s="1" t="s">
        <v>353</v>
      </c>
      <c r="B357" s="1" t="s">
        <v>1112</v>
      </c>
      <c r="C357" s="1" t="s">
        <v>7</v>
      </c>
      <c r="D357">
        <v>578448</v>
      </c>
      <c r="E357">
        <v>6648</v>
      </c>
      <c r="F357">
        <v>63629</v>
      </c>
      <c r="G357">
        <v>15</v>
      </c>
      <c r="H357" s="4">
        <v>103.4</v>
      </c>
      <c r="I357" s="2">
        <v>0.8</v>
      </c>
      <c r="J357">
        <v>6</v>
      </c>
      <c r="K357">
        <v>1</v>
      </c>
      <c r="L357">
        <v>57</v>
      </c>
      <c r="M357" s="1" t="s">
        <v>1021</v>
      </c>
      <c r="N357" s="1" t="s">
        <v>1019</v>
      </c>
    </row>
    <row r="358" spans="1:14" x14ac:dyDescent="0.25">
      <c r="A358" s="1" t="s">
        <v>354</v>
      </c>
      <c r="B358" s="1" t="s">
        <v>1105</v>
      </c>
      <c r="C358" s="1" t="s">
        <v>9</v>
      </c>
      <c r="D358">
        <v>253521</v>
      </c>
      <c r="E358">
        <v>61438</v>
      </c>
      <c r="F358">
        <v>27887</v>
      </c>
      <c r="G358">
        <v>15</v>
      </c>
      <c r="H358" s="4">
        <v>96.5</v>
      </c>
      <c r="I358" s="2">
        <v>0.73333333333333295</v>
      </c>
      <c r="J358">
        <v>0</v>
      </c>
      <c r="K358">
        <v>0</v>
      </c>
      <c r="L358">
        <v>88</v>
      </c>
      <c r="M358" s="1" t="s">
        <v>1016</v>
      </c>
      <c r="N358" s="1" t="s">
        <v>1020</v>
      </c>
    </row>
    <row r="359" spans="1:14" x14ac:dyDescent="0.25">
      <c r="A359" s="1" t="s">
        <v>355</v>
      </c>
      <c r="B359" s="1" t="s">
        <v>1209</v>
      </c>
      <c r="C359" s="1" t="s">
        <v>52</v>
      </c>
      <c r="D359">
        <v>648431</v>
      </c>
      <c r="E359">
        <v>87454</v>
      </c>
      <c r="F359">
        <v>71327</v>
      </c>
      <c r="G359">
        <v>14</v>
      </c>
      <c r="H359" s="4">
        <v>100.5</v>
      </c>
      <c r="I359" s="2">
        <v>0.78571428571428603</v>
      </c>
      <c r="J359">
        <v>0</v>
      </c>
      <c r="K359">
        <v>0</v>
      </c>
      <c r="L359">
        <v>90</v>
      </c>
      <c r="M359" s="1" t="s">
        <v>1016</v>
      </c>
      <c r="N359" s="1" t="s">
        <v>1015</v>
      </c>
    </row>
    <row r="360" spans="1:14" x14ac:dyDescent="0.25">
      <c r="A360" s="1" t="s">
        <v>356</v>
      </c>
      <c r="B360" s="1" t="s">
        <v>1265</v>
      </c>
      <c r="C360" s="1" t="s">
        <v>12</v>
      </c>
      <c r="D360">
        <v>353894</v>
      </c>
      <c r="E360">
        <v>58440</v>
      </c>
      <c r="F360">
        <v>38928</v>
      </c>
      <c r="G360">
        <v>15</v>
      </c>
      <c r="H360" s="4">
        <v>89.7</v>
      </c>
      <c r="I360" s="2">
        <v>0.6</v>
      </c>
      <c r="J360">
        <v>0</v>
      </c>
      <c r="K360">
        <v>0</v>
      </c>
      <c r="L360">
        <v>65</v>
      </c>
      <c r="M360" s="1" t="s">
        <v>1018</v>
      </c>
      <c r="N360" s="1" t="s">
        <v>1019</v>
      </c>
    </row>
    <row r="361" spans="1:14" x14ac:dyDescent="0.25">
      <c r="A361" s="1" t="s">
        <v>358</v>
      </c>
      <c r="B361" s="1" t="s">
        <v>1267</v>
      </c>
      <c r="C361" s="1" t="s">
        <v>37</v>
      </c>
      <c r="D361">
        <v>417136</v>
      </c>
      <c r="E361">
        <v>71756</v>
      </c>
      <c r="F361">
        <v>45885</v>
      </c>
      <c r="G361">
        <v>15</v>
      </c>
      <c r="H361" s="4">
        <v>104.80000000000001</v>
      </c>
      <c r="I361" s="2">
        <v>0.86666666666666703</v>
      </c>
      <c r="J361">
        <v>0</v>
      </c>
      <c r="K361">
        <v>0</v>
      </c>
      <c r="L361">
        <v>84</v>
      </c>
      <c r="M361" s="1" t="s">
        <v>1014</v>
      </c>
      <c r="N361" s="1" t="s">
        <v>1020</v>
      </c>
    </row>
    <row r="362" spans="1:14" x14ac:dyDescent="0.25">
      <c r="A362" s="1" t="s">
        <v>359</v>
      </c>
      <c r="B362" s="1" t="s">
        <v>1268</v>
      </c>
      <c r="C362" s="1" t="s">
        <v>3</v>
      </c>
      <c r="D362">
        <v>385203</v>
      </c>
      <c r="E362">
        <v>4478</v>
      </c>
      <c r="F362">
        <v>42372</v>
      </c>
      <c r="G362">
        <v>15</v>
      </c>
      <c r="H362" s="4">
        <v>96.6</v>
      </c>
      <c r="I362" s="2">
        <v>0.6</v>
      </c>
      <c r="J362">
        <v>0</v>
      </c>
      <c r="K362">
        <v>0</v>
      </c>
      <c r="L362">
        <v>76</v>
      </c>
      <c r="M362" s="1" t="s">
        <v>1021</v>
      </c>
      <c r="N362" s="1" t="s">
        <v>1017</v>
      </c>
    </row>
    <row r="363" spans="1:14" x14ac:dyDescent="0.25">
      <c r="A363" s="1" t="s">
        <v>361</v>
      </c>
      <c r="B363" s="1" t="s">
        <v>1269</v>
      </c>
      <c r="C363" s="1" t="s">
        <v>3</v>
      </c>
      <c r="D363">
        <v>377056</v>
      </c>
      <c r="E363">
        <v>27722</v>
      </c>
      <c r="F363">
        <v>41476</v>
      </c>
      <c r="G363">
        <v>15</v>
      </c>
      <c r="H363" s="4">
        <v>88.9</v>
      </c>
      <c r="I363" s="2">
        <v>0.66666666666666696</v>
      </c>
      <c r="J363">
        <v>6</v>
      </c>
      <c r="K363">
        <v>1</v>
      </c>
      <c r="L363">
        <v>67</v>
      </c>
      <c r="M363" s="1" t="s">
        <v>1021</v>
      </c>
      <c r="N363" s="1" t="s">
        <v>1019</v>
      </c>
    </row>
    <row r="364" spans="1:14" x14ac:dyDescent="0.25">
      <c r="A364" s="1" t="s">
        <v>362</v>
      </c>
      <c r="B364" s="1" t="s">
        <v>1054</v>
      </c>
      <c r="C364" s="1" t="s">
        <v>37</v>
      </c>
      <c r="D364">
        <v>534773</v>
      </c>
      <c r="E364">
        <v>4239</v>
      </c>
      <c r="F364">
        <v>58825</v>
      </c>
      <c r="G364">
        <v>14</v>
      </c>
      <c r="H364" s="4">
        <v>111.10000000000001</v>
      </c>
      <c r="I364" s="2">
        <v>0.78571428571428603</v>
      </c>
      <c r="J364">
        <v>0</v>
      </c>
      <c r="K364">
        <v>0</v>
      </c>
      <c r="L364">
        <v>60</v>
      </c>
      <c r="M364" s="1" t="s">
        <v>1018</v>
      </c>
      <c r="N364" s="1" t="s">
        <v>1019</v>
      </c>
    </row>
    <row r="365" spans="1:14" x14ac:dyDescent="0.25">
      <c r="A365" s="1" t="s">
        <v>363</v>
      </c>
      <c r="B365" s="1" t="s">
        <v>1167</v>
      </c>
      <c r="C365" s="1" t="s">
        <v>27</v>
      </c>
      <c r="D365">
        <v>473091</v>
      </c>
      <c r="E365">
        <v>71327</v>
      </c>
      <c r="F365">
        <v>52040</v>
      </c>
      <c r="G365">
        <v>15</v>
      </c>
      <c r="H365" s="4">
        <v>102.4</v>
      </c>
      <c r="I365" s="2">
        <v>0.86666666666666703</v>
      </c>
      <c r="J365">
        <v>0</v>
      </c>
      <c r="K365">
        <v>0</v>
      </c>
      <c r="L365">
        <v>91</v>
      </c>
      <c r="M365" s="1" t="s">
        <v>1016</v>
      </c>
      <c r="N365" s="1" t="s">
        <v>1015</v>
      </c>
    </row>
    <row r="366" spans="1:14" x14ac:dyDescent="0.25">
      <c r="A366" s="1" t="s">
        <v>365</v>
      </c>
      <c r="B366" s="1" t="s">
        <v>1220</v>
      </c>
      <c r="C366" s="1" t="s">
        <v>37</v>
      </c>
      <c r="D366">
        <v>593952</v>
      </c>
      <c r="E366">
        <v>19696</v>
      </c>
      <c r="F366">
        <v>65335</v>
      </c>
      <c r="G366">
        <v>15</v>
      </c>
      <c r="H366" s="4">
        <v>117.19999999999999</v>
      </c>
      <c r="I366" s="2">
        <v>0.73333333333333295</v>
      </c>
      <c r="J366">
        <v>0</v>
      </c>
      <c r="K366">
        <v>0</v>
      </c>
      <c r="L366">
        <v>76</v>
      </c>
      <c r="M366" s="1" t="s">
        <v>1021</v>
      </c>
      <c r="N366" s="1" t="s">
        <v>1017</v>
      </c>
    </row>
    <row r="367" spans="1:14" x14ac:dyDescent="0.25">
      <c r="A367" s="1" t="s">
        <v>366</v>
      </c>
      <c r="B367" s="1" t="s">
        <v>1145</v>
      </c>
      <c r="C367" s="1" t="s">
        <v>9</v>
      </c>
      <c r="D367">
        <v>324650</v>
      </c>
      <c r="E367">
        <v>7649</v>
      </c>
      <c r="F367">
        <v>35712</v>
      </c>
      <c r="G367">
        <v>15</v>
      </c>
      <c r="H367" s="4">
        <v>95.100000000000009</v>
      </c>
      <c r="I367" s="2">
        <v>0.8</v>
      </c>
      <c r="J367">
        <v>0</v>
      </c>
      <c r="K367">
        <v>0</v>
      </c>
      <c r="L367">
        <v>80</v>
      </c>
      <c r="M367" s="1" t="s">
        <v>1413</v>
      </c>
      <c r="N367" s="1" t="s">
        <v>1020</v>
      </c>
    </row>
    <row r="368" spans="1:14" x14ac:dyDescent="0.25">
      <c r="A368" s="1" t="s">
        <v>367</v>
      </c>
      <c r="B368" s="1" t="s">
        <v>1270</v>
      </c>
      <c r="C368" s="1" t="s">
        <v>9</v>
      </c>
      <c r="D368">
        <v>378412</v>
      </c>
      <c r="E368">
        <v>37533</v>
      </c>
      <c r="F368">
        <v>41625</v>
      </c>
      <c r="G368">
        <v>15</v>
      </c>
      <c r="H368" s="4">
        <v>100.3</v>
      </c>
      <c r="I368" s="2">
        <v>0.8</v>
      </c>
      <c r="J368">
        <v>0</v>
      </c>
      <c r="K368">
        <v>0</v>
      </c>
      <c r="L368">
        <v>59</v>
      </c>
      <c r="M368" s="1" t="s">
        <v>1014</v>
      </c>
      <c r="N368" s="1" t="s">
        <v>1019</v>
      </c>
    </row>
    <row r="369" spans="1:14" x14ac:dyDescent="0.25">
      <c r="A369" s="1" t="s">
        <v>368</v>
      </c>
      <c r="B369" s="1" t="s">
        <v>1271</v>
      </c>
      <c r="C369" s="1" t="s">
        <v>9</v>
      </c>
      <c r="D369">
        <v>419883</v>
      </c>
      <c r="E369">
        <v>33056</v>
      </c>
      <c r="F369">
        <v>46187</v>
      </c>
      <c r="G369">
        <v>15</v>
      </c>
      <c r="H369" s="4">
        <v>92.100000000000009</v>
      </c>
      <c r="I369" s="2">
        <v>0.6</v>
      </c>
      <c r="J369">
        <v>0</v>
      </c>
      <c r="K369">
        <v>0</v>
      </c>
      <c r="L369">
        <v>56</v>
      </c>
      <c r="M369" s="1" t="s">
        <v>1021</v>
      </c>
      <c r="N369" s="1" t="s">
        <v>1019</v>
      </c>
    </row>
    <row r="370" spans="1:14" x14ac:dyDescent="0.25">
      <c r="A370" s="1" t="s">
        <v>370</v>
      </c>
      <c r="B370" s="1" t="s">
        <v>1272</v>
      </c>
      <c r="C370" s="1" t="s">
        <v>5</v>
      </c>
      <c r="D370">
        <v>842517</v>
      </c>
      <c r="E370">
        <v>59195</v>
      </c>
      <c r="F370">
        <v>92677</v>
      </c>
      <c r="G370">
        <v>15</v>
      </c>
      <c r="H370" s="4">
        <v>95.3</v>
      </c>
      <c r="I370" s="2">
        <v>0.8</v>
      </c>
      <c r="J370">
        <v>0</v>
      </c>
      <c r="K370">
        <v>0</v>
      </c>
      <c r="L370">
        <v>91</v>
      </c>
      <c r="M370" s="1" t="s">
        <v>1018</v>
      </c>
      <c r="N370" s="1" t="s">
        <v>1015</v>
      </c>
    </row>
    <row r="371" spans="1:14" x14ac:dyDescent="0.25">
      <c r="A371" s="1" t="s">
        <v>373</v>
      </c>
      <c r="B371" s="1" t="s">
        <v>1216</v>
      </c>
      <c r="C371" s="1" t="s">
        <v>9</v>
      </c>
      <c r="D371">
        <v>541899</v>
      </c>
      <c r="E371">
        <v>75284</v>
      </c>
      <c r="F371">
        <v>59609</v>
      </c>
      <c r="G371">
        <v>15</v>
      </c>
      <c r="H371" s="4">
        <v>105.69999999999999</v>
      </c>
      <c r="I371" s="2">
        <v>0.66666666666666696</v>
      </c>
      <c r="J371">
        <v>0</v>
      </c>
      <c r="K371">
        <v>0</v>
      </c>
      <c r="L371">
        <v>84</v>
      </c>
      <c r="M371" s="1" t="s">
        <v>1014</v>
      </c>
      <c r="N371" s="1" t="s">
        <v>1020</v>
      </c>
    </row>
    <row r="372" spans="1:14" x14ac:dyDescent="0.25">
      <c r="A372" s="1" t="s">
        <v>374</v>
      </c>
      <c r="B372" s="1" t="s">
        <v>1275</v>
      </c>
      <c r="C372" s="1" t="s">
        <v>9</v>
      </c>
      <c r="D372">
        <v>436233</v>
      </c>
      <c r="E372">
        <v>69138</v>
      </c>
      <c r="F372">
        <v>47986</v>
      </c>
      <c r="G372">
        <v>15</v>
      </c>
      <c r="H372" s="4">
        <v>94.9</v>
      </c>
      <c r="I372" s="2">
        <v>0.73333333333333295</v>
      </c>
      <c r="J372">
        <v>0</v>
      </c>
      <c r="K372">
        <v>0</v>
      </c>
      <c r="L372">
        <v>69</v>
      </c>
      <c r="M372" s="1" t="s">
        <v>1016</v>
      </c>
      <c r="N372" s="1" t="s">
        <v>1019</v>
      </c>
    </row>
    <row r="373" spans="1:14" x14ac:dyDescent="0.25">
      <c r="A373" s="1" t="s">
        <v>376</v>
      </c>
      <c r="B373" s="1" t="s">
        <v>1138</v>
      </c>
      <c r="C373" s="1" t="s">
        <v>52</v>
      </c>
      <c r="D373">
        <v>499461</v>
      </c>
      <c r="E373">
        <v>87183</v>
      </c>
      <c r="F373">
        <v>54941</v>
      </c>
      <c r="G373">
        <v>15</v>
      </c>
      <c r="H373" s="4">
        <v>112.10000000000001</v>
      </c>
      <c r="I373" s="2">
        <v>0.86666666666666703</v>
      </c>
      <c r="J373">
        <v>0</v>
      </c>
      <c r="K373">
        <v>0</v>
      </c>
      <c r="L373">
        <v>82</v>
      </c>
      <c r="M373" s="1" t="s">
        <v>1016</v>
      </c>
      <c r="N373" s="1" t="s">
        <v>1020</v>
      </c>
    </row>
    <row r="374" spans="1:14" x14ac:dyDescent="0.25">
      <c r="A374" s="1" t="s">
        <v>386</v>
      </c>
      <c r="B374" s="1" t="s">
        <v>1227</v>
      </c>
      <c r="C374" s="1" t="s">
        <v>1037</v>
      </c>
      <c r="D374">
        <v>670580</v>
      </c>
      <c r="E374">
        <v>79527</v>
      </c>
      <c r="F374">
        <v>73764</v>
      </c>
      <c r="G374">
        <v>15</v>
      </c>
      <c r="H374" s="4">
        <v>105.4</v>
      </c>
      <c r="I374" s="2">
        <v>0.8</v>
      </c>
      <c r="J374">
        <v>8</v>
      </c>
      <c r="K374">
        <v>1</v>
      </c>
      <c r="L374">
        <v>98</v>
      </c>
      <c r="M374" s="1" t="s">
        <v>1016</v>
      </c>
      <c r="N374" s="1" t="s">
        <v>1015</v>
      </c>
    </row>
    <row r="375" spans="1:14" x14ac:dyDescent="0.25">
      <c r="A375" s="1" t="s">
        <v>377</v>
      </c>
      <c r="B375" s="1" t="s">
        <v>1276</v>
      </c>
      <c r="C375" s="1" t="s">
        <v>1037</v>
      </c>
      <c r="D375">
        <v>781421</v>
      </c>
      <c r="E375">
        <v>44286</v>
      </c>
      <c r="F375">
        <v>85956</v>
      </c>
      <c r="G375">
        <v>15</v>
      </c>
      <c r="H375" s="4">
        <v>96.299999999999983</v>
      </c>
      <c r="I375" s="2">
        <v>0.8</v>
      </c>
      <c r="J375">
        <v>0</v>
      </c>
      <c r="K375">
        <v>0</v>
      </c>
      <c r="L375">
        <v>76</v>
      </c>
      <c r="M375" s="1" t="s">
        <v>1021</v>
      </c>
      <c r="N375" s="1" t="s">
        <v>1017</v>
      </c>
    </row>
    <row r="376" spans="1:14" x14ac:dyDescent="0.25">
      <c r="A376" s="1" t="s">
        <v>380</v>
      </c>
      <c r="B376" s="1" t="s">
        <v>1067</v>
      </c>
      <c r="C376" s="1" t="s">
        <v>12</v>
      </c>
      <c r="D376">
        <v>801889</v>
      </c>
      <c r="E376">
        <v>78660</v>
      </c>
      <c r="F376">
        <v>88208</v>
      </c>
      <c r="G376">
        <v>15</v>
      </c>
      <c r="H376" s="4">
        <v>116.4</v>
      </c>
      <c r="I376" s="2">
        <v>0.86666666666666703</v>
      </c>
      <c r="J376">
        <v>0</v>
      </c>
      <c r="K376">
        <v>0</v>
      </c>
      <c r="L376">
        <v>62</v>
      </c>
      <c r="M376" s="1" t="s">
        <v>1413</v>
      </c>
      <c r="N376" s="1" t="s">
        <v>1019</v>
      </c>
    </row>
    <row r="377" spans="1:14" x14ac:dyDescent="0.25">
      <c r="A377" s="1" t="s">
        <v>381</v>
      </c>
      <c r="B377" s="1" t="s">
        <v>1278</v>
      </c>
      <c r="C377" s="1" t="s">
        <v>37</v>
      </c>
      <c r="D377">
        <v>247181</v>
      </c>
      <c r="E377">
        <v>26462</v>
      </c>
      <c r="F377">
        <v>27190</v>
      </c>
      <c r="G377">
        <v>15</v>
      </c>
      <c r="H377" s="4">
        <v>103.40000000000002</v>
      </c>
      <c r="I377" s="2">
        <v>0.53333333333333299</v>
      </c>
      <c r="J377">
        <v>0</v>
      </c>
      <c r="K377">
        <v>0</v>
      </c>
      <c r="L377">
        <v>74</v>
      </c>
      <c r="M377" s="1" t="s">
        <v>1016</v>
      </c>
      <c r="N377" s="1" t="s">
        <v>1017</v>
      </c>
    </row>
    <row r="378" spans="1:14" x14ac:dyDescent="0.25">
      <c r="A378" s="1" t="s">
        <v>382</v>
      </c>
      <c r="B378" s="1" t="s">
        <v>1133</v>
      </c>
      <c r="C378" s="1" t="s">
        <v>7</v>
      </c>
      <c r="D378">
        <v>538476</v>
      </c>
      <c r="E378">
        <v>60528</v>
      </c>
      <c r="F378">
        <v>59232</v>
      </c>
      <c r="G378">
        <v>15</v>
      </c>
      <c r="H378" s="4">
        <v>82.6</v>
      </c>
      <c r="I378" s="2">
        <v>0.66666666666666696</v>
      </c>
      <c r="J378">
        <v>0</v>
      </c>
      <c r="K378">
        <v>0</v>
      </c>
      <c r="L378">
        <v>97</v>
      </c>
      <c r="M378" s="1" t="s">
        <v>1021</v>
      </c>
      <c r="N378" s="1" t="s">
        <v>1015</v>
      </c>
    </row>
    <row r="379" spans="1:14" x14ac:dyDescent="0.25">
      <c r="A379" s="1" t="s">
        <v>385</v>
      </c>
      <c r="B379" s="1" t="s">
        <v>1206</v>
      </c>
      <c r="C379" s="1" t="s">
        <v>23</v>
      </c>
      <c r="D379">
        <v>540672</v>
      </c>
      <c r="E379">
        <v>58920</v>
      </c>
      <c r="F379">
        <v>59474</v>
      </c>
      <c r="G379">
        <v>15</v>
      </c>
      <c r="H379" s="4">
        <v>81.599999999999994</v>
      </c>
      <c r="I379" s="2">
        <v>0.66666666666666696</v>
      </c>
      <c r="J379">
        <v>0</v>
      </c>
      <c r="K379">
        <v>0</v>
      </c>
      <c r="L379">
        <v>100</v>
      </c>
      <c r="M379" s="1" t="s">
        <v>1016</v>
      </c>
      <c r="N379" s="1" t="s">
        <v>1015</v>
      </c>
    </row>
    <row r="380" spans="1:14" x14ac:dyDescent="0.25">
      <c r="A380" s="1" t="s">
        <v>387</v>
      </c>
      <c r="B380" s="1" t="s">
        <v>1280</v>
      </c>
      <c r="C380" s="1" t="s">
        <v>23</v>
      </c>
      <c r="D380">
        <v>372407</v>
      </c>
      <c r="E380">
        <v>83668</v>
      </c>
      <c r="F380">
        <v>40965</v>
      </c>
      <c r="G380">
        <v>15</v>
      </c>
      <c r="H380" s="4">
        <v>110.5</v>
      </c>
      <c r="I380" s="2">
        <v>0.8</v>
      </c>
      <c r="J380">
        <v>0</v>
      </c>
      <c r="K380">
        <v>0</v>
      </c>
      <c r="L380">
        <v>88</v>
      </c>
      <c r="M380" s="1" t="s">
        <v>1021</v>
      </c>
      <c r="N380" s="1" t="s">
        <v>1020</v>
      </c>
    </row>
    <row r="381" spans="1:14" x14ac:dyDescent="0.25">
      <c r="A381" s="1" t="s">
        <v>388</v>
      </c>
      <c r="B381" s="1" t="s">
        <v>1154</v>
      </c>
      <c r="C381" s="1" t="s">
        <v>3</v>
      </c>
      <c r="D381">
        <v>429082</v>
      </c>
      <c r="E381">
        <v>2317</v>
      </c>
      <c r="F381">
        <v>47199</v>
      </c>
      <c r="G381">
        <v>15</v>
      </c>
      <c r="H381" s="4">
        <v>104.4</v>
      </c>
      <c r="I381" s="2">
        <v>0.8</v>
      </c>
      <c r="J381">
        <v>0</v>
      </c>
      <c r="K381">
        <v>0</v>
      </c>
      <c r="L381">
        <v>66</v>
      </c>
      <c r="M381" s="1" t="s">
        <v>1021</v>
      </c>
      <c r="N381" s="1" t="s">
        <v>1019</v>
      </c>
    </row>
    <row r="382" spans="1:14" x14ac:dyDescent="0.25">
      <c r="A382" s="1" t="s">
        <v>390</v>
      </c>
      <c r="B382" s="1" t="s">
        <v>1281</v>
      </c>
      <c r="C382" s="1" t="s">
        <v>3</v>
      </c>
      <c r="D382">
        <v>415357</v>
      </c>
      <c r="E382">
        <v>44172</v>
      </c>
      <c r="F382">
        <v>45689</v>
      </c>
      <c r="G382">
        <v>15</v>
      </c>
      <c r="H382" s="4">
        <v>121.60000000000001</v>
      </c>
      <c r="I382" s="2">
        <v>0.86666666666666703</v>
      </c>
      <c r="J382">
        <v>8</v>
      </c>
      <c r="K382">
        <v>1</v>
      </c>
      <c r="L382">
        <v>61</v>
      </c>
      <c r="M382" s="1" t="s">
        <v>1413</v>
      </c>
      <c r="N382" s="1" t="s">
        <v>1019</v>
      </c>
    </row>
    <row r="383" spans="1:14" x14ac:dyDescent="0.25">
      <c r="A383" s="1" t="s">
        <v>392</v>
      </c>
      <c r="B383" s="1" t="s">
        <v>1177</v>
      </c>
      <c r="C383" s="1" t="s">
        <v>23</v>
      </c>
      <c r="D383">
        <v>275543</v>
      </c>
      <c r="E383">
        <v>73702</v>
      </c>
      <c r="F383">
        <v>30310</v>
      </c>
      <c r="G383">
        <v>15</v>
      </c>
      <c r="H383" s="4">
        <v>112.79999999999998</v>
      </c>
      <c r="I383" s="2">
        <v>0.86666666666666703</v>
      </c>
      <c r="J383">
        <v>0</v>
      </c>
      <c r="K383">
        <v>0</v>
      </c>
      <c r="L383">
        <v>95</v>
      </c>
      <c r="M383" s="1" t="s">
        <v>1014</v>
      </c>
      <c r="N383" s="1" t="s">
        <v>1015</v>
      </c>
    </row>
    <row r="384" spans="1:14" x14ac:dyDescent="0.25">
      <c r="A384" s="1" t="s">
        <v>393</v>
      </c>
      <c r="B384" s="1" t="s">
        <v>1283</v>
      </c>
      <c r="C384" s="1" t="s">
        <v>12</v>
      </c>
      <c r="D384">
        <v>229341</v>
      </c>
      <c r="E384">
        <v>44948</v>
      </c>
      <c r="F384">
        <v>25228</v>
      </c>
      <c r="G384">
        <v>15</v>
      </c>
      <c r="H384" s="4">
        <v>87.2</v>
      </c>
      <c r="I384" s="2">
        <v>0.73333333333333295</v>
      </c>
      <c r="J384">
        <v>4</v>
      </c>
      <c r="K384">
        <v>1</v>
      </c>
      <c r="L384">
        <v>68</v>
      </c>
      <c r="M384" s="1" t="s">
        <v>1014</v>
      </c>
      <c r="N384" s="1" t="s">
        <v>1019</v>
      </c>
    </row>
    <row r="385" spans="1:14" x14ac:dyDescent="0.25">
      <c r="A385" s="1" t="s">
        <v>394</v>
      </c>
      <c r="B385" s="1" t="s">
        <v>1284</v>
      </c>
      <c r="C385" s="1" t="s">
        <v>3</v>
      </c>
      <c r="D385">
        <v>371706</v>
      </c>
      <c r="E385">
        <v>48094</v>
      </c>
      <c r="F385">
        <v>40888</v>
      </c>
      <c r="G385">
        <v>15</v>
      </c>
      <c r="H385" s="4">
        <v>103.7</v>
      </c>
      <c r="I385" s="2">
        <v>0.8</v>
      </c>
      <c r="J385">
        <v>0</v>
      </c>
      <c r="K385">
        <v>0</v>
      </c>
      <c r="L385">
        <v>55</v>
      </c>
      <c r="M385" s="1" t="s">
        <v>1014</v>
      </c>
      <c r="N385" s="1" t="s">
        <v>1019</v>
      </c>
    </row>
    <row r="386" spans="1:14" x14ac:dyDescent="0.25">
      <c r="A386" s="1" t="s">
        <v>395</v>
      </c>
      <c r="B386" s="1" t="s">
        <v>1180</v>
      </c>
      <c r="C386" s="1" t="s">
        <v>12</v>
      </c>
      <c r="D386">
        <v>687240</v>
      </c>
      <c r="E386">
        <v>43592</v>
      </c>
      <c r="F386">
        <v>75596</v>
      </c>
      <c r="G386">
        <v>15</v>
      </c>
      <c r="H386" s="4">
        <v>104.89999999999999</v>
      </c>
      <c r="I386" s="2">
        <v>0.66666666666666696</v>
      </c>
      <c r="J386">
        <v>2</v>
      </c>
      <c r="K386">
        <v>1</v>
      </c>
      <c r="L386">
        <v>82</v>
      </c>
      <c r="M386" s="1" t="s">
        <v>1021</v>
      </c>
      <c r="N386" s="1" t="s">
        <v>1020</v>
      </c>
    </row>
    <row r="387" spans="1:14" x14ac:dyDescent="0.25">
      <c r="A387" s="1" t="s">
        <v>396</v>
      </c>
      <c r="B387" s="1" t="s">
        <v>1241</v>
      </c>
      <c r="C387" s="1" t="s">
        <v>7</v>
      </c>
      <c r="D387">
        <v>746089</v>
      </c>
      <c r="E387">
        <v>75897</v>
      </c>
      <c r="F387">
        <v>82070</v>
      </c>
      <c r="G387">
        <v>15</v>
      </c>
      <c r="H387" s="4">
        <v>96.499999999999986</v>
      </c>
      <c r="I387" s="2">
        <v>0.73333333333333295</v>
      </c>
      <c r="J387">
        <v>0</v>
      </c>
      <c r="K387">
        <v>0</v>
      </c>
      <c r="L387">
        <v>64</v>
      </c>
      <c r="M387" s="1" t="s">
        <v>1021</v>
      </c>
      <c r="N387" s="1" t="s">
        <v>1019</v>
      </c>
    </row>
    <row r="388" spans="1:14" x14ac:dyDescent="0.25">
      <c r="A388" s="1" t="s">
        <v>397</v>
      </c>
      <c r="B388" s="1" t="s">
        <v>1285</v>
      </c>
      <c r="C388" s="1" t="s">
        <v>5</v>
      </c>
      <c r="D388">
        <v>373401</v>
      </c>
      <c r="E388">
        <v>22395</v>
      </c>
      <c r="F388">
        <v>41074</v>
      </c>
      <c r="G388">
        <v>15</v>
      </c>
      <c r="H388" s="4">
        <v>105.5</v>
      </c>
      <c r="I388" s="2">
        <v>0.6</v>
      </c>
      <c r="J388">
        <v>7</v>
      </c>
      <c r="K388">
        <v>1</v>
      </c>
      <c r="L388">
        <v>85</v>
      </c>
      <c r="M388" s="1" t="s">
        <v>1014</v>
      </c>
      <c r="N388" s="1" t="s">
        <v>1020</v>
      </c>
    </row>
    <row r="389" spans="1:14" x14ac:dyDescent="0.25">
      <c r="A389" s="1" t="s">
        <v>398</v>
      </c>
      <c r="B389" s="1" t="s">
        <v>1286</v>
      </c>
      <c r="C389" s="1" t="s">
        <v>52</v>
      </c>
      <c r="D389">
        <v>246114</v>
      </c>
      <c r="E389">
        <v>29098</v>
      </c>
      <c r="F389">
        <v>27073</v>
      </c>
      <c r="G389">
        <v>15</v>
      </c>
      <c r="H389" s="4">
        <v>108.7</v>
      </c>
      <c r="I389" s="2">
        <v>0.8</v>
      </c>
      <c r="J389">
        <v>0</v>
      </c>
      <c r="K389">
        <v>0</v>
      </c>
      <c r="L389">
        <v>83</v>
      </c>
      <c r="M389" s="1" t="s">
        <v>1021</v>
      </c>
      <c r="N389" s="1" t="s">
        <v>1020</v>
      </c>
    </row>
    <row r="390" spans="1:14" x14ac:dyDescent="0.25">
      <c r="A390" s="1" t="s">
        <v>399</v>
      </c>
      <c r="B390" s="1" t="s">
        <v>1193</v>
      </c>
      <c r="C390" s="1" t="s">
        <v>37</v>
      </c>
      <c r="D390">
        <v>746007</v>
      </c>
      <c r="E390">
        <v>57643</v>
      </c>
      <c r="F390">
        <v>82061</v>
      </c>
      <c r="G390">
        <v>15</v>
      </c>
      <c r="H390" s="4">
        <v>88.3</v>
      </c>
      <c r="I390" s="2">
        <v>0.6</v>
      </c>
      <c r="J390">
        <v>0</v>
      </c>
      <c r="K390">
        <v>0</v>
      </c>
      <c r="L390">
        <v>55</v>
      </c>
      <c r="M390" s="1" t="s">
        <v>1014</v>
      </c>
      <c r="N390" s="1" t="s">
        <v>1019</v>
      </c>
    </row>
    <row r="391" spans="1:14" x14ac:dyDescent="0.25">
      <c r="A391" s="1" t="s">
        <v>400</v>
      </c>
      <c r="B391" s="1" t="s">
        <v>1067</v>
      </c>
      <c r="C391" s="1" t="s">
        <v>52</v>
      </c>
      <c r="D391">
        <v>433311</v>
      </c>
      <c r="E391">
        <v>58069</v>
      </c>
      <c r="F391">
        <v>47664</v>
      </c>
      <c r="G391">
        <v>15</v>
      </c>
      <c r="H391" s="4">
        <v>108.8</v>
      </c>
      <c r="I391" s="2">
        <v>0.8</v>
      </c>
      <c r="J391">
        <v>0</v>
      </c>
      <c r="K391">
        <v>0</v>
      </c>
      <c r="L391">
        <v>81</v>
      </c>
      <c r="M391" s="1" t="s">
        <v>1014</v>
      </c>
      <c r="N391" s="1" t="s">
        <v>1020</v>
      </c>
    </row>
    <row r="392" spans="1:14" x14ac:dyDescent="0.25">
      <c r="A392" s="1" t="s">
        <v>401</v>
      </c>
      <c r="B392" s="1" t="s">
        <v>1287</v>
      </c>
      <c r="C392" s="1" t="s">
        <v>1037</v>
      </c>
      <c r="D392">
        <v>607744</v>
      </c>
      <c r="E392">
        <v>13388</v>
      </c>
      <c r="F392">
        <v>66852</v>
      </c>
      <c r="G392">
        <v>15</v>
      </c>
      <c r="H392" s="4">
        <v>117.39999999999999</v>
      </c>
      <c r="I392" s="2">
        <v>0.93333333333333302</v>
      </c>
      <c r="J392">
        <v>0</v>
      </c>
      <c r="K392">
        <v>0</v>
      </c>
      <c r="L392">
        <v>75</v>
      </c>
      <c r="M392" s="1" t="s">
        <v>1014</v>
      </c>
      <c r="N392" s="1" t="s">
        <v>1017</v>
      </c>
    </row>
    <row r="393" spans="1:14" x14ac:dyDescent="0.25">
      <c r="A393" s="1" t="s">
        <v>402</v>
      </c>
      <c r="B393" s="1" t="s">
        <v>1288</v>
      </c>
      <c r="C393" s="1" t="s">
        <v>1037</v>
      </c>
      <c r="D393">
        <v>785862</v>
      </c>
      <c r="E393">
        <v>15977</v>
      </c>
      <c r="F393">
        <v>86445</v>
      </c>
      <c r="G393">
        <v>15</v>
      </c>
      <c r="H393" s="4">
        <v>100.89999999999999</v>
      </c>
      <c r="I393" s="2">
        <v>0.73333333333333295</v>
      </c>
      <c r="J393">
        <v>2</v>
      </c>
      <c r="K393">
        <v>1</v>
      </c>
      <c r="L393">
        <v>92</v>
      </c>
      <c r="M393" s="1" t="s">
        <v>1018</v>
      </c>
      <c r="N393" s="1" t="s">
        <v>1015</v>
      </c>
    </row>
    <row r="394" spans="1:14" x14ac:dyDescent="0.25">
      <c r="A394" s="1" t="s">
        <v>403</v>
      </c>
      <c r="B394" s="1" t="s">
        <v>1066</v>
      </c>
      <c r="C394" s="1" t="s">
        <v>9</v>
      </c>
      <c r="D394">
        <v>242874</v>
      </c>
      <c r="E394">
        <v>53585</v>
      </c>
      <c r="F394">
        <v>26716</v>
      </c>
      <c r="G394">
        <v>15</v>
      </c>
      <c r="H394" s="4">
        <v>110.50000000000001</v>
      </c>
      <c r="I394" s="2">
        <v>0.8</v>
      </c>
      <c r="J394">
        <v>0</v>
      </c>
      <c r="K394">
        <v>0</v>
      </c>
      <c r="L394">
        <v>77</v>
      </c>
      <c r="M394" s="1" t="s">
        <v>1413</v>
      </c>
      <c r="N394" s="1" t="s">
        <v>1017</v>
      </c>
    </row>
    <row r="395" spans="1:14" x14ac:dyDescent="0.25">
      <c r="A395" s="1" t="s">
        <v>404</v>
      </c>
      <c r="B395" s="1" t="s">
        <v>1282</v>
      </c>
      <c r="C395" s="1" t="s">
        <v>12</v>
      </c>
      <c r="D395">
        <v>367324</v>
      </c>
      <c r="E395">
        <v>49043</v>
      </c>
      <c r="F395">
        <v>40406</v>
      </c>
      <c r="G395">
        <v>15</v>
      </c>
      <c r="H395" s="4">
        <v>91.5</v>
      </c>
      <c r="I395" s="2">
        <v>0.6</v>
      </c>
      <c r="J395">
        <v>3</v>
      </c>
      <c r="K395">
        <v>1</v>
      </c>
      <c r="L395">
        <v>87</v>
      </c>
      <c r="M395" s="1" t="s">
        <v>1016</v>
      </c>
      <c r="N395" s="1" t="s">
        <v>1020</v>
      </c>
    </row>
    <row r="396" spans="1:14" x14ac:dyDescent="0.25">
      <c r="A396" s="1" t="s">
        <v>405</v>
      </c>
      <c r="B396" s="1" t="s">
        <v>1289</v>
      </c>
      <c r="C396" s="1" t="s">
        <v>7</v>
      </c>
      <c r="D396">
        <v>309140</v>
      </c>
      <c r="E396">
        <v>51889</v>
      </c>
      <c r="F396">
        <v>34005</v>
      </c>
      <c r="G396">
        <v>15</v>
      </c>
      <c r="H396" s="4">
        <v>106.4</v>
      </c>
      <c r="I396" s="2">
        <v>0.8</v>
      </c>
      <c r="J396">
        <v>7</v>
      </c>
      <c r="K396">
        <v>1</v>
      </c>
      <c r="L396">
        <v>86</v>
      </c>
      <c r="M396" s="1" t="s">
        <v>1018</v>
      </c>
      <c r="N396" s="1" t="s">
        <v>1020</v>
      </c>
    </row>
    <row r="397" spans="1:14" x14ac:dyDescent="0.25">
      <c r="A397" s="1" t="s">
        <v>406</v>
      </c>
      <c r="B397" s="1" t="s">
        <v>1235</v>
      </c>
      <c r="C397" s="1" t="s">
        <v>5</v>
      </c>
      <c r="D397">
        <v>701787</v>
      </c>
      <c r="E397">
        <v>30675</v>
      </c>
      <c r="F397">
        <v>77197</v>
      </c>
      <c r="G397">
        <v>15</v>
      </c>
      <c r="H397" s="4">
        <v>105.49999999999999</v>
      </c>
      <c r="I397" s="2">
        <v>0.73333333333333295</v>
      </c>
      <c r="J397">
        <v>14</v>
      </c>
      <c r="K397">
        <v>3</v>
      </c>
      <c r="L397">
        <v>83</v>
      </c>
      <c r="M397" s="1" t="s">
        <v>1021</v>
      </c>
      <c r="N397" s="1" t="s">
        <v>1020</v>
      </c>
    </row>
    <row r="398" spans="1:14" x14ac:dyDescent="0.25">
      <c r="A398" s="1" t="s">
        <v>407</v>
      </c>
      <c r="B398" s="1" t="s">
        <v>1290</v>
      </c>
      <c r="C398" s="1" t="s">
        <v>52</v>
      </c>
      <c r="D398">
        <v>517274</v>
      </c>
      <c r="E398">
        <v>8242</v>
      </c>
      <c r="F398">
        <v>56900</v>
      </c>
      <c r="G398">
        <v>15</v>
      </c>
      <c r="H398" s="4">
        <v>88.6</v>
      </c>
      <c r="I398" s="2">
        <v>0.6</v>
      </c>
      <c r="J398">
        <v>0</v>
      </c>
      <c r="K398">
        <v>0</v>
      </c>
      <c r="L398">
        <v>100</v>
      </c>
      <c r="M398" s="1" t="s">
        <v>1018</v>
      </c>
      <c r="N398" s="1" t="s">
        <v>1015</v>
      </c>
    </row>
    <row r="399" spans="1:14" x14ac:dyDescent="0.25">
      <c r="A399" s="1" t="s">
        <v>408</v>
      </c>
      <c r="B399" s="1" t="s">
        <v>1124</v>
      </c>
      <c r="C399" s="1" t="s">
        <v>23</v>
      </c>
      <c r="D399">
        <v>277599</v>
      </c>
      <c r="E399">
        <v>41954</v>
      </c>
      <c r="F399">
        <v>30536</v>
      </c>
      <c r="G399">
        <v>14</v>
      </c>
      <c r="H399" s="4">
        <v>113.60000000000002</v>
      </c>
      <c r="I399" s="2">
        <v>0.64285714285714302</v>
      </c>
      <c r="J399">
        <v>0</v>
      </c>
      <c r="K399">
        <v>0</v>
      </c>
      <c r="L399">
        <v>83</v>
      </c>
      <c r="M399" s="1" t="s">
        <v>1016</v>
      </c>
      <c r="N399" s="1" t="s">
        <v>1020</v>
      </c>
    </row>
    <row r="400" spans="1:14" x14ac:dyDescent="0.25">
      <c r="A400" s="1" t="s">
        <v>409</v>
      </c>
      <c r="B400" s="1" t="s">
        <v>1224</v>
      </c>
      <c r="C400" s="1" t="s">
        <v>1037</v>
      </c>
      <c r="D400">
        <v>789192</v>
      </c>
      <c r="E400">
        <v>33886</v>
      </c>
      <c r="F400">
        <v>86811</v>
      </c>
      <c r="G400">
        <v>15</v>
      </c>
      <c r="H400" s="4">
        <v>108.89999999999999</v>
      </c>
      <c r="I400" s="2">
        <v>0.8</v>
      </c>
      <c r="J400">
        <v>0</v>
      </c>
      <c r="K400">
        <v>0</v>
      </c>
      <c r="L400">
        <v>72</v>
      </c>
      <c r="M400" s="1" t="s">
        <v>1021</v>
      </c>
      <c r="N400" s="1" t="s">
        <v>1017</v>
      </c>
    </row>
    <row r="401" spans="1:14" x14ac:dyDescent="0.25">
      <c r="A401" s="1" t="s">
        <v>410</v>
      </c>
      <c r="B401" s="1" t="s">
        <v>1291</v>
      </c>
      <c r="C401" s="1" t="s">
        <v>27</v>
      </c>
      <c r="D401">
        <v>638210</v>
      </c>
      <c r="E401">
        <v>3087</v>
      </c>
      <c r="F401">
        <v>70203</v>
      </c>
      <c r="G401">
        <v>15</v>
      </c>
      <c r="H401" s="4">
        <v>96.699999999999989</v>
      </c>
      <c r="I401" s="2">
        <v>0.66666666666666696</v>
      </c>
      <c r="J401">
        <v>0</v>
      </c>
      <c r="K401">
        <v>0</v>
      </c>
      <c r="L401">
        <v>74</v>
      </c>
      <c r="M401" s="1" t="s">
        <v>1014</v>
      </c>
      <c r="N401" s="1" t="s">
        <v>1017</v>
      </c>
    </row>
    <row r="402" spans="1:14" x14ac:dyDescent="0.25">
      <c r="A402" s="1" t="s">
        <v>411</v>
      </c>
      <c r="B402" s="1" t="s">
        <v>1292</v>
      </c>
      <c r="C402" s="1" t="s">
        <v>37</v>
      </c>
      <c r="D402">
        <v>590436</v>
      </c>
      <c r="E402">
        <v>31682</v>
      </c>
      <c r="F402">
        <v>64948</v>
      </c>
      <c r="G402">
        <v>15</v>
      </c>
      <c r="H402" s="4">
        <v>88.899999999999991</v>
      </c>
      <c r="I402" s="2">
        <v>0.6</v>
      </c>
      <c r="J402">
        <v>0</v>
      </c>
      <c r="K402">
        <v>0</v>
      </c>
      <c r="L402">
        <v>60</v>
      </c>
      <c r="M402" s="1" t="s">
        <v>1021</v>
      </c>
      <c r="N402" s="1" t="s">
        <v>1019</v>
      </c>
    </row>
    <row r="403" spans="1:14" x14ac:dyDescent="0.25">
      <c r="A403" s="1" t="s">
        <v>412</v>
      </c>
      <c r="B403" s="1" t="s">
        <v>1116</v>
      </c>
      <c r="C403" s="1" t="s">
        <v>27</v>
      </c>
      <c r="D403">
        <v>453095</v>
      </c>
      <c r="E403">
        <v>32751</v>
      </c>
      <c r="F403">
        <v>49840</v>
      </c>
      <c r="G403">
        <v>15</v>
      </c>
      <c r="H403" s="4">
        <v>86</v>
      </c>
      <c r="I403" s="2">
        <v>0.66666666666666696</v>
      </c>
      <c r="J403">
        <v>14</v>
      </c>
      <c r="K403">
        <v>1</v>
      </c>
      <c r="L403">
        <v>91</v>
      </c>
      <c r="M403" s="1" t="s">
        <v>1014</v>
      </c>
      <c r="N403" s="1" t="s">
        <v>1015</v>
      </c>
    </row>
    <row r="404" spans="1:14" x14ac:dyDescent="0.25">
      <c r="A404" s="1" t="s">
        <v>413</v>
      </c>
      <c r="B404" s="1" t="s">
        <v>1293</v>
      </c>
      <c r="C404" s="1" t="s">
        <v>27</v>
      </c>
      <c r="D404">
        <v>453536</v>
      </c>
      <c r="E404">
        <v>82818</v>
      </c>
      <c r="F404">
        <v>49889</v>
      </c>
      <c r="G404">
        <v>15</v>
      </c>
      <c r="H404" s="4">
        <v>96.499999999999986</v>
      </c>
      <c r="I404" s="2">
        <v>0.66666666666666696</v>
      </c>
      <c r="J404">
        <v>0</v>
      </c>
      <c r="K404">
        <v>0</v>
      </c>
      <c r="L404">
        <v>58</v>
      </c>
      <c r="M404" s="1" t="s">
        <v>1016</v>
      </c>
      <c r="N404" s="1" t="s">
        <v>1019</v>
      </c>
    </row>
    <row r="405" spans="1:14" x14ac:dyDescent="0.25">
      <c r="A405" s="1" t="s">
        <v>414</v>
      </c>
      <c r="B405" s="1" t="s">
        <v>1132</v>
      </c>
      <c r="C405" s="1" t="s">
        <v>27</v>
      </c>
      <c r="D405">
        <v>740750</v>
      </c>
      <c r="E405">
        <v>88347</v>
      </c>
      <c r="F405">
        <v>81482</v>
      </c>
      <c r="G405">
        <v>15</v>
      </c>
      <c r="H405" s="4">
        <v>86</v>
      </c>
      <c r="I405" s="2">
        <v>0.6</v>
      </c>
      <c r="J405">
        <v>0</v>
      </c>
      <c r="K405">
        <v>0</v>
      </c>
      <c r="L405">
        <v>77</v>
      </c>
      <c r="M405" s="1" t="s">
        <v>1014</v>
      </c>
      <c r="N405" s="1" t="s">
        <v>1017</v>
      </c>
    </row>
    <row r="406" spans="1:14" x14ac:dyDescent="0.25">
      <c r="A406" s="1" t="s">
        <v>415</v>
      </c>
      <c r="B406" s="1" t="s">
        <v>1154</v>
      </c>
      <c r="C406" s="1" t="s">
        <v>7</v>
      </c>
      <c r="D406">
        <v>392812</v>
      </c>
      <c r="E406">
        <v>16806</v>
      </c>
      <c r="F406">
        <v>43209</v>
      </c>
      <c r="G406">
        <v>15</v>
      </c>
      <c r="H406" s="4">
        <v>110.60000000000001</v>
      </c>
      <c r="I406" s="2">
        <v>0.73333333333333295</v>
      </c>
      <c r="J406">
        <v>8</v>
      </c>
      <c r="K406">
        <v>2</v>
      </c>
      <c r="L406">
        <v>82</v>
      </c>
      <c r="M406" s="1" t="s">
        <v>1014</v>
      </c>
      <c r="N406" s="1" t="s">
        <v>1020</v>
      </c>
    </row>
    <row r="407" spans="1:14" x14ac:dyDescent="0.25">
      <c r="A407" s="1" t="s">
        <v>416</v>
      </c>
      <c r="B407" s="1" t="s">
        <v>1294</v>
      </c>
      <c r="C407" s="1" t="s">
        <v>12</v>
      </c>
      <c r="D407">
        <v>234439</v>
      </c>
      <c r="E407">
        <v>84992</v>
      </c>
      <c r="F407">
        <v>25788</v>
      </c>
      <c r="G407">
        <v>15</v>
      </c>
      <c r="H407" s="4">
        <v>114.1</v>
      </c>
      <c r="I407" s="2">
        <v>0.86666666666666703</v>
      </c>
      <c r="J407">
        <v>0</v>
      </c>
      <c r="K407">
        <v>0</v>
      </c>
      <c r="L407">
        <v>94</v>
      </c>
      <c r="M407" s="1" t="s">
        <v>1016</v>
      </c>
      <c r="N407" s="1" t="s">
        <v>1015</v>
      </c>
    </row>
    <row r="408" spans="1:14" x14ac:dyDescent="0.25">
      <c r="A408" s="1" t="s">
        <v>417</v>
      </c>
      <c r="B408" s="1" t="s">
        <v>1295</v>
      </c>
      <c r="C408" s="1" t="s">
        <v>5</v>
      </c>
      <c r="D408">
        <v>660983</v>
      </c>
      <c r="E408">
        <v>32825</v>
      </c>
      <c r="F408">
        <v>72708</v>
      </c>
      <c r="G408">
        <v>15</v>
      </c>
      <c r="H408" s="4">
        <v>81.500000000000014</v>
      </c>
      <c r="I408" s="2">
        <v>0.66666666666666696</v>
      </c>
      <c r="J408">
        <v>10</v>
      </c>
      <c r="K408">
        <v>1</v>
      </c>
      <c r="L408">
        <v>68</v>
      </c>
      <c r="M408" s="1" t="s">
        <v>1021</v>
      </c>
      <c r="N408" s="1" t="s">
        <v>1019</v>
      </c>
    </row>
    <row r="409" spans="1:14" x14ac:dyDescent="0.25">
      <c r="A409" s="1" t="s">
        <v>418</v>
      </c>
      <c r="B409" s="1" t="s">
        <v>1150</v>
      </c>
      <c r="C409" s="1" t="s">
        <v>23</v>
      </c>
      <c r="D409">
        <v>845587</v>
      </c>
      <c r="E409">
        <v>66937</v>
      </c>
      <c r="F409">
        <v>93015</v>
      </c>
      <c r="G409">
        <v>15</v>
      </c>
      <c r="H409" s="4">
        <v>77.699999999999989</v>
      </c>
      <c r="I409" s="2">
        <v>0.6</v>
      </c>
      <c r="J409">
        <v>0</v>
      </c>
      <c r="K409">
        <v>0</v>
      </c>
      <c r="L409">
        <v>60</v>
      </c>
      <c r="M409" s="1" t="s">
        <v>1016</v>
      </c>
      <c r="N409" s="1" t="s">
        <v>1019</v>
      </c>
    </row>
    <row r="410" spans="1:14" x14ac:dyDescent="0.25">
      <c r="A410" s="1" t="s">
        <v>419</v>
      </c>
      <c r="B410" s="1" t="s">
        <v>1296</v>
      </c>
      <c r="C410" s="1" t="s">
        <v>9</v>
      </c>
      <c r="D410">
        <v>694864</v>
      </c>
      <c r="E410">
        <v>8538</v>
      </c>
      <c r="F410">
        <v>76435</v>
      </c>
      <c r="G410">
        <v>15</v>
      </c>
      <c r="H410" s="4">
        <v>105.69999999999999</v>
      </c>
      <c r="I410" s="2">
        <v>0.86666666666666703</v>
      </c>
      <c r="J410">
        <v>0</v>
      </c>
      <c r="K410">
        <v>0</v>
      </c>
      <c r="L410">
        <v>98</v>
      </c>
      <c r="M410" s="1" t="s">
        <v>1014</v>
      </c>
      <c r="N410" s="1" t="s">
        <v>1015</v>
      </c>
    </row>
    <row r="411" spans="1:14" x14ac:dyDescent="0.25">
      <c r="A411" s="1" t="s">
        <v>420</v>
      </c>
      <c r="B411" s="1" t="s">
        <v>1232</v>
      </c>
      <c r="C411" s="1" t="s">
        <v>27</v>
      </c>
      <c r="D411">
        <v>502231</v>
      </c>
      <c r="E411">
        <v>48271</v>
      </c>
      <c r="F411">
        <v>55245</v>
      </c>
      <c r="G411">
        <v>15</v>
      </c>
      <c r="H411" s="4">
        <v>92.8</v>
      </c>
      <c r="I411" s="2">
        <v>0.6</v>
      </c>
      <c r="J411">
        <v>4</v>
      </c>
      <c r="K411">
        <v>1</v>
      </c>
      <c r="L411">
        <v>71</v>
      </c>
      <c r="M411" s="1" t="s">
        <v>1018</v>
      </c>
      <c r="N411" s="1" t="s">
        <v>1017</v>
      </c>
    </row>
    <row r="412" spans="1:14" x14ac:dyDescent="0.25">
      <c r="A412" s="1" t="s">
        <v>421</v>
      </c>
      <c r="B412" s="1" t="s">
        <v>1183</v>
      </c>
      <c r="C412" s="1" t="s">
        <v>1117</v>
      </c>
      <c r="D412">
        <v>601291</v>
      </c>
      <c r="E412">
        <v>18115</v>
      </c>
      <c r="F412">
        <v>66142</v>
      </c>
      <c r="G412">
        <v>15</v>
      </c>
      <c r="H412" s="4">
        <v>103.39999999999999</v>
      </c>
      <c r="I412" s="2">
        <v>0.66666666666666696</v>
      </c>
      <c r="J412">
        <v>0</v>
      </c>
      <c r="K412">
        <v>0</v>
      </c>
      <c r="L412">
        <v>94</v>
      </c>
      <c r="M412" s="1" t="s">
        <v>1014</v>
      </c>
      <c r="N412" s="1" t="s">
        <v>1015</v>
      </c>
    </row>
    <row r="413" spans="1:14" x14ac:dyDescent="0.25">
      <c r="A413" s="1" t="s">
        <v>422</v>
      </c>
      <c r="B413" s="1" t="s">
        <v>1297</v>
      </c>
      <c r="C413" s="1" t="s">
        <v>12</v>
      </c>
      <c r="D413">
        <v>696996</v>
      </c>
      <c r="E413">
        <v>38784</v>
      </c>
      <c r="F413">
        <v>76670</v>
      </c>
      <c r="G413">
        <v>15</v>
      </c>
      <c r="H413" s="4">
        <v>96.3</v>
      </c>
      <c r="I413" s="2">
        <v>0.8</v>
      </c>
      <c r="J413">
        <v>0</v>
      </c>
      <c r="K413">
        <v>0</v>
      </c>
      <c r="L413">
        <v>73</v>
      </c>
      <c r="M413" s="1" t="s">
        <v>1021</v>
      </c>
      <c r="N413" s="1" t="s">
        <v>1017</v>
      </c>
    </row>
    <row r="414" spans="1:14" x14ac:dyDescent="0.25">
      <c r="A414" s="1" t="s">
        <v>423</v>
      </c>
      <c r="B414" s="1" t="s">
        <v>1249</v>
      </c>
      <c r="C414" s="1" t="s">
        <v>27</v>
      </c>
      <c r="D414">
        <v>461337</v>
      </c>
      <c r="E414">
        <v>31195</v>
      </c>
      <c r="F414">
        <v>50747</v>
      </c>
      <c r="G414">
        <v>15</v>
      </c>
      <c r="H414" s="4">
        <v>111.80000000000001</v>
      </c>
      <c r="I414" s="2">
        <v>0.86666666666666703</v>
      </c>
      <c r="J414">
        <v>0</v>
      </c>
      <c r="K414">
        <v>0</v>
      </c>
      <c r="L414">
        <v>56</v>
      </c>
      <c r="M414" s="1" t="s">
        <v>1016</v>
      </c>
      <c r="N414" s="1" t="s">
        <v>1019</v>
      </c>
    </row>
    <row r="415" spans="1:14" x14ac:dyDescent="0.25">
      <c r="A415" s="1" t="s">
        <v>424</v>
      </c>
      <c r="B415" s="1" t="s">
        <v>1198</v>
      </c>
      <c r="C415" s="1" t="s">
        <v>23</v>
      </c>
      <c r="D415">
        <v>265866</v>
      </c>
      <c r="E415">
        <v>4192</v>
      </c>
      <c r="F415">
        <v>29245</v>
      </c>
      <c r="G415">
        <v>15</v>
      </c>
      <c r="H415" s="4">
        <v>111.5</v>
      </c>
      <c r="I415" s="2">
        <v>0.73333333333333295</v>
      </c>
      <c r="J415">
        <v>7</v>
      </c>
      <c r="K415">
        <v>2</v>
      </c>
      <c r="L415">
        <v>74</v>
      </c>
      <c r="M415" s="1" t="s">
        <v>1413</v>
      </c>
      <c r="N415" s="1" t="s">
        <v>1017</v>
      </c>
    </row>
    <row r="416" spans="1:14" x14ac:dyDescent="0.25">
      <c r="A416" s="1" t="s">
        <v>425</v>
      </c>
      <c r="B416" s="1" t="s">
        <v>1298</v>
      </c>
      <c r="C416" s="1" t="s">
        <v>37</v>
      </c>
      <c r="D416">
        <v>479270</v>
      </c>
      <c r="E416">
        <v>64140</v>
      </c>
      <c r="F416">
        <v>52720</v>
      </c>
      <c r="G416">
        <v>15</v>
      </c>
      <c r="H416" s="4">
        <v>102.2</v>
      </c>
      <c r="I416" s="2">
        <v>0.8</v>
      </c>
      <c r="J416">
        <v>0</v>
      </c>
      <c r="K416">
        <v>0</v>
      </c>
      <c r="L416">
        <v>84</v>
      </c>
      <c r="M416" s="1" t="s">
        <v>1014</v>
      </c>
      <c r="N416" s="1" t="s">
        <v>1020</v>
      </c>
    </row>
    <row r="417" spans="1:14" x14ac:dyDescent="0.25">
      <c r="A417" s="1" t="s">
        <v>426</v>
      </c>
      <c r="B417" s="1" t="s">
        <v>1215</v>
      </c>
      <c r="C417" s="1" t="s">
        <v>23</v>
      </c>
      <c r="D417">
        <v>508289</v>
      </c>
      <c r="E417">
        <v>67832</v>
      </c>
      <c r="F417">
        <v>55912</v>
      </c>
      <c r="G417">
        <v>15</v>
      </c>
      <c r="H417" s="4">
        <v>119.19999999999999</v>
      </c>
      <c r="I417" s="2">
        <v>0.8</v>
      </c>
      <c r="J417">
        <v>0</v>
      </c>
      <c r="K417">
        <v>0</v>
      </c>
      <c r="L417">
        <v>66</v>
      </c>
      <c r="M417" s="1" t="s">
        <v>1014</v>
      </c>
      <c r="N417" s="1" t="s">
        <v>1019</v>
      </c>
    </row>
    <row r="418" spans="1:14" x14ac:dyDescent="0.25">
      <c r="A418" s="1" t="s">
        <v>427</v>
      </c>
      <c r="B418" s="1" t="s">
        <v>1176</v>
      </c>
      <c r="C418" s="1" t="s">
        <v>5</v>
      </c>
      <c r="D418">
        <v>335801</v>
      </c>
      <c r="E418">
        <v>44601</v>
      </c>
      <c r="F418">
        <v>36938</v>
      </c>
      <c r="G418">
        <v>15</v>
      </c>
      <c r="H418" s="4">
        <v>65.599999999999994</v>
      </c>
      <c r="I418" s="2">
        <v>0.53333333333333299</v>
      </c>
      <c r="J418">
        <v>14</v>
      </c>
      <c r="K418">
        <v>1</v>
      </c>
      <c r="L418">
        <v>95</v>
      </c>
      <c r="M418" s="1" t="s">
        <v>1021</v>
      </c>
      <c r="N418" s="1" t="s">
        <v>1015</v>
      </c>
    </row>
    <row r="419" spans="1:14" x14ac:dyDescent="0.25">
      <c r="A419" s="1" t="s">
        <v>428</v>
      </c>
      <c r="B419" s="1" t="s">
        <v>1193</v>
      </c>
      <c r="C419" s="1" t="s">
        <v>52</v>
      </c>
      <c r="D419">
        <v>301788</v>
      </c>
      <c r="E419">
        <v>41375</v>
      </c>
      <c r="F419">
        <v>33197</v>
      </c>
      <c r="G419">
        <v>15</v>
      </c>
      <c r="H419" s="4">
        <v>108.69999999999999</v>
      </c>
      <c r="I419" s="2">
        <v>0.86666666666666703</v>
      </c>
      <c r="J419">
        <v>0</v>
      </c>
      <c r="K419">
        <v>0</v>
      </c>
      <c r="L419">
        <v>70</v>
      </c>
      <c r="M419" s="1" t="s">
        <v>1413</v>
      </c>
      <c r="N419" s="1" t="s">
        <v>1017</v>
      </c>
    </row>
    <row r="420" spans="1:14" x14ac:dyDescent="0.25">
      <c r="A420" s="1" t="s">
        <v>429</v>
      </c>
      <c r="B420" s="1" t="s">
        <v>1216</v>
      </c>
      <c r="C420" s="1" t="s">
        <v>1037</v>
      </c>
      <c r="D420">
        <v>327199</v>
      </c>
      <c r="E420">
        <v>72393</v>
      </c>
      <c r="F420">
        <v>35992</v>
      </c>
      <c r="G420">
        <v>15</v>
      </c>
      <c r="H420" s="4">
        <v>104.2</v>
      </c>
      <c r="I420" s="2">
        <v>0.73333333333333295</v>
      </c>
      <c r="J420">
        <v>0</v>
      </c>
      <c r="K420">
        <v>0</v>
      </c>
      <c r="L420">
        <v>98</v>
      </c>
      <c r="M420" s="1" t="s">
        <v>1014</v>
      </c>
      <c r="N420" s="1" t="s">
        <v>1015</v>
      </c>
    </row>
    <row r="421" spans="1:14" x14ac:dyDescent="0.25">
      <c r="A421" s="1" t="s">
        <v>430</v>
      </c>
      <c r="B421" s="1" t="s">
        <v>1045</v>
      </c>
      <c r="C421" s="1" t="s">
        <v>37</v>
      </c>
      <c r="D421">
        <v>638843</v>
      </c>
      <c r="E421">
        <v>43253</v>
      </c>
      <c r="F421">
        <v>70273</v>
      </c>
      <c r="G421">
        <v>15</v>
      </c>
      <c r="H421" s="4">
        <v>112.50000000000001</v>
      </c>
      <c r="I421" s="2">
        <v>0.73333333333333295</v>
      </c>
      <c r="J421">
        <v>14</v>
      </c>
      <c r="K421">
        <v>1</v>
      </c>
      <c r="L421">
        <v>60</v>
      </c>
      <c r="M421" s="1" t="s">
        <v>1014</v>
      </c>
      <c r="N421" s="1" t="s">
        <v>1019</v>
      </c>
    </row>
    <row r="422" spans="1:14" x14ac:dyDescent="0.25">
      <c r="A422" s="1" t="s">
        <v>431</v>
      </c>
      <c r="B422" s="1" t="s">
        <v>1299</v>
      </c>
      <c r="C422" s="1" t="s">
        <v>27</v>
      </c>
      <c r="D422">
        <v>309014</v>
      </c>
      <c r="E422">
        <v>46109</v>
      </c>
      <c r="F422">
        <v>33992</v>
      </c>
      <c r="G422">
        <v>15</v>
      </c>
      <c r="H422" s="4">
        <v>107.1</v>
      </c>
      <c r="I422" s="2">
        <v>0.6</v>
      </c>
      <c r="J422">
        <v>0</v>
      </c>
      <c r="K422">
        <v>0</v>
      </c>
      <c r="L422">
        <v>60</v>
      </c>
      <c r="M422" s="1" t="s">
        <v>1018</v>
      </c>
      <c r="N422" s="1" t="s">
        <v>1019</v>
      </c>
    </row>
    <row r="423" spans="1:14" x14ac:dyDescent="0.25">
      <c r="A423" s="1" t="s">
        <v>432</v>
      </c>
      <c r="B423" s="1" t="s">
        <v>1177</v>
      </c>
      <c r="C423" s="1" t="s">
        <v>27</v>
      </c>
      <c r="D423">
        <v>298911</v>
      </c>
      <c r="E423">
        <v>974</v>
      </c>
      <c r="F423">
        <v>32880</v>
      </c>
      <c r="G423">
        <v>15</v>
      </c>
      <c r="H423" s="4">
        <v>103.20000000000002</v>
      </c>
      <c r="I423" s="2">
        <v>0.8</v>
      </c>
      <c r="J423">
        <v>0</v>
      </c>
      <c r="K423">
        <v>0</v>
      </c>
      <c r="L423">
        <v>66</v>
      </c>
      <c r="M423" s="1" t="s">
        <v>1016</v>
      </c>
      <c r="N423" s="1" t="s">
        <v>1019</v>
      </c>
    </row>
    <row r="424" spans="1:14" x14ac:dyDescent="0.25">
      <c r="A424" s="1" t="s">
        <v>433</v>
      </c>
      <c r="B424" s="1" t="s">
        <v>1169</v>
      </c>
      <c r="C424" s="1" t="s">
        <v>27</v>
      </c>
      <c r="D424">
        <v>684985</v>
      </c>
      <c r="E424">
        <v>17485</v>
      </c>
      <c r="F424">
        <v>75348</v>
      </c>
      <c r="G424">
        <v>14</v>
      </c>
      <c r="H424" s="4">
        <v>95.4</v>
      </c>
      <c r="I424" s="2">
        <v>0.85714285714285698</v>
      </c>
      <c r="J424">
        <v>8</v>
      </c>
      <c r="K424">
        <v>1</v>
      </c>
      <c r="L424">
        <v>88</v>
      </c>
      <c r="M424" s="1" t="s">
        <v>1016</v>
      </c>
      <c r="N424" s="1" t="s">
        <v>1020</v>
      </c>
    </row>
    <row r="425" spans="1:14" x14ac:dyDescent="0.25">
      <c r="A425" s="1" t="s">
        <v>434</v>
      </c>
      <c r="B425" s="1" t="s">
        <v>1182</v>
      </c>
      <c r="C425" s="1" t="s">
        <v>3</v>
      </c>
      <c r="D425">
        <v>630177</v>
      </c>
      <c r="E425">
        <v>70137</v>
      </c>
      <c r="F425">
        <v>69319</v>
      </c>
      <c r="G425">
        <v>15</v>
      </c>
      <c r="H425" s="4">
        <v>100.19999999999999</v>
      </c>
      <c r="I425" s="2">
        <v>0.73333333333333295</v>
      </c>
      <c r="J425">
        <v>0</v>
      </c>
      <c r="K425">
        <v>0</v>
      </c>
      <c r="L425">
        <v>87</v>
      </c>
      <c r="M425" s="1" t="s">
        <v>1413</v>
      </c>
      <c r="N425" s="1" t="s">
        <v>1020</v>
      </c>
    </row>
    <row r="426" spans="1:14" x14ac:dyDescent="0.25">
      <c r="A426" s="1" t="s">
        <v>435</v>
      </c>
      <c r="B426" s="1" t="s">
        <v>1077</v>
      </c>
      <c r="C426" s="1" t="s">
        <v>9</v>
      </c>
      <c r="D426">
        <v>330651</v>
      </c>
      <c r="E426">
        <v>79655</v>
      </c>
      <c r="F426">
        <v>36372</v>
      </c>
      <c r="G426">
        <v>15</v>
      </c>
      <c r="H426" s="4">
        <v>115</v>
      </c>
      <c r="I426" s="2">
        <v>0.8</v>
      </c>
      <c r="J426">
        <v>5</v>
      </c>
      <c r="K426">
        <v>1</v>
      </c>
      <c r="L426">
        <v>91</v>
      </c>
      <c r="M426" s="1" t="s">
        <v>1014</v>
      </c>
      <c r="N426" s="1" t="s">
        <v>1015</v>
      </c>
    </row>
    <row r="427" spans="1:14" x14ac:dyDescent="0.25">
      <c r="A427" s="1" t="s">
        <v>436</v>
      </c>
      <c r="B427" s="1" t="s">
        <v>1300</v>
      </c>
      <c r="C427" s="1" t="s">
        <v>7</v>
      </c>
      <c r="D427">
        <v>330973</v>
      </c>
      <c r="E427">
        <v>31523</v>
      </c>
      <c r="F427">
        <v>36407</v>
      </c>
      <c r="G427">
        <v>15</v>
      </c>
      <c r="H427" s="4">
        <v>107.10000000000001</v>
      </c>
      <c r="I427" s="2">
        <v>0.8</v>
      </c>
      <c r="J427">
        <v>0</v>
      </c>
      <c r="K427">
        <v>0</v>
      </c>
      <c r="L427">
        <v>97</v>
      </c>
      <c r="M427" s="1" t="s">
        <v>1014</v>
      </c>
      <c r="N427" s="1" t="s">
        <v>1015</v>
      </c>
    </row>
    <row r="428" spans="1:14" x14ac:dyDescent="0.25">
      <c r="A428" s="1" t="s">
        <v>437</v>
      </c>
      <c r="B428" s="1" t="s">
        <v>1301</v>
      </c>
      <c r="C428" s="1" t="s">
        <v>23</v>
      </c>
      <c r="D428">
        <v>387338</v>
      </c>
      <c r="E428">
        <v>74653</v>
      </c>
      <c r="F428">
        <v>42607</v>
      </c>
      <c r="G428">
        <v>15</v>
      </c>
      <c r="H428" s="4">
        <v>101.9</v>
      </c>
      <c r="I428" s="2">
        <v>0.6</v>
      </c>
      <c r="J428">
        <v>0</v>
      </c>
      <c r="K428">
        <v>0</v>
      </c>
      <c r="L428">
        <v>81</v>
      </c>
      <c r="M428" s="1" t="s">
        <v>1016</v>
      </c>
      <c r="N428" s="1" t="s">
        <v>1020</v>
      </c>
    </row>
    <row r="429" spans="1:14" x14ac:dyDescent="0.25">
      <c r="A429" s="1" t="s">
        <v>438</v>
      </c>
      <c r="B429" s="1" t="s">
        <v>1219</v>
      </c>
      <c r="C429" s="1" t="s">
        <v>9</v>
      </c>
      <c r="D429">
        <v>414081</v>
      </c>
      <c r="E429">
        <v>22167</v>
      </c>
      <c r="F429">
        <v>45549</v>
      </c>
      <c r="G429">
        <v>15</v>
      </c>
      <c r="H429" s="4">
        <v>88.899999999999991</v>
      </c>
      <c r="I429" s="2">
        <v>0.66666666666666696</v>
      </c>
      <c r="J429">
        <v>0</v>
      </c>
      <c r="K429">
        <v>0</v>
      </c>
      <c r="L429">
        <v>91</v>
      </c>
      <c r="M429" s="1" t="s">
        <v>1021</v>
      </c>
      <c r="N429" s="1" t="s">
        <v>1015</v>
      </c>
    </row>
    <row r="430" spans="1:14" x14ac:dyDescent="0.25">
      <c r="A430" s="1" t="s">
        <v>439</v>
      </c>
      <c r="B430" s="1" t="s">
        <v>1190</v>
      </c>
      <c r="C430" s="1" t="s">
        <v>52</v>
      </c>
      <c r="D430">
        <v>818269</v>
      </c>
      <c r="E430">
        <v>29363</v>
      </c>
      <c r="F430">
        <v>90010</v>
      </c>
      <c r="G430">
        <v>15</v>
      </c>
      <c r="H430" s="4">
        <v>98.799999999999983</v>
      </c>
      <c r="I430" s="2">
        <v>0.8</v>
      </c>
      <c r="J430">
        <v>0</v>
      </c>
      <c r="K430">
        <v>0</v>
      </c>
      <c r="L430">
        <v>71</v>
      </c>
      <c r="M430" s="1" t="s">
        <v>1018</v>
      </c>
      <c r="N430" s="1" t="s">
        <v>1017</v>
      </c>
    </row>
    <row r="431" spans="1:14" x14ac:dyDescent="0.25">
      <c r="A431" s="1" t="s">
        <v>440</v>
      </c>
      <c r="B431" s="1" t="s">
        <v>1155</v>
      </c>
      <c r="C431" s="1" t="s">
        <v>12</v>
      </c>
      <c r="D431">
        <v>362535</v>
      </c>
      <c r="E431">
        <v>49479</v>
      </c>
      <c r="F431">
        <v>39879</v>
      </c>
      <c r="G431">
        <v>15</v>
      </c>
      <c r="H431" s="4">
        <v>106.20000000000002</v>
      </c>
      <c r="I431" s="2">
        <v>0.46666666666666701</v>
      </c>
      <c r="J431">
        <v>0</v>
      </c>
      <c r="K431">
        <v>0</v>
      </c>
      <c r="L431">
        <v>86</v>
      </c>
      <c r="M431" s="1" t="s">
        <v>1018</v>
      </c>
      <c r="N431" s="1" t="s">
        <v>1020</v>
      </c>
    </row>
    <row r="432" spans="1:14" x14ac:dyDescent="0.25">
      <c r="A432" s="1" t="s">
        <v>441</v>
      </c>
      <c r="B432" s="1" t="s">
        <v>1231</v>
      </c>
      <c r="C432" s="1" t="s">
        <v>5</v>
      </c>
      <c r="D432">
        <v>539238</v>
      </c>
      <c r="E432">
        <v>67509</v>
      </c>
      <c r="F432">
        <v>59316</v>
      </c>
      <c r="G432">
        <v>15</v>
      </c>
      <c r="H432" s="4">
        <v>96.500000000000014</v>
      </c>
      <c r="I432" s="2">
        <v>0.73333333333333295</v>
      </c>
      <c r="J432">
        <v>0</v>
      </c>
      <c r="K432">
        <v>0</v>
      </c>
      <c r="L432">
        <v>86</v>
      </c>
      <c r="M432" s="1" t="s">
        <v>1021</v>
      </c>
      <c r="N432" s="1" t="s">
        <v>1020</v>
      </c>
    </row>
    <row r="433" spans="1:14" x14ac:dyDescent="0.25">
      <c r="A433" s="1" t="s">
        <v>442</v>
      </c>
      <c r="B433" s="1" t="s">
        <v>1108</v>
      </c>
      <c r="C433" s="1" t="s">
        <v>52</v>
      </c>
      <c r="D433">
        <v>430550</v>
      </c>
      <c r="E433">
        <v>61608</v>
      </c>
      <c r="F433">
        <v>47360</v>
      </c>
      <c r="G433">
        <v>15</v>
      </c>
      <c r="H433" s="4">
        <v>107.79999999999998</v>
      </c>
      <c r="I433" s="2">
        <v>0.73333333333333295</v>
      </c>
      <c r="J433">
        <v>0</v>
      </c>
      <c r="K433">
        <v>0</v>
      </c>
      <c r="L433">
        <v>65</v>
      </c>
      <c r="M433" s="1" t="s">
        <v>1016</v>
      </c>
      <c r="N433" s="1" t="s">
        <v>1019</v>
      </c>
    </row>
    <row r="434" spans="1:14" x14ac:dyDescent="0.25">
      <c r="A434" s="1" t="s">
        <v>443</v>
      </c>
      <c r="B434" s="1" t="s">
        <v>1292</v>
      </c>
      <c r="C434" s="1" t="s">
        <v>23</v>
      </c>
      <c r="D434">
        <v>826746</v>
      </c>
      <c r="E434">
        <v>69724</v>
      </c>
      <c r="F434">
        <v>90942</v>
      </c>
      <c r="G434">
        <v>15</v>
      </c>
      <c r="H434" s="4">
        <v>107.8</v>
      </c>
      <c r="I434" s="2">
        <v>0.86666666666666703</v>
      </c>
      <c r="J434">
        <v>0</v>
      </c>
      <c r="K434">
        <v>0</v>
      </c>
      <c r="L434">
        <v>72</v>
      </c>
      <c r="M434" s="1" t="s">
        <v>1021</v>
      </c>
      <c r="N434" s="1" t="s">
        <v>1017</v>
      </c>
    </row>
    <row r="435" spans="1:14" x14ac:dyDescent="0.25">
      <c r="A435" s="1" t="s">
        <v>444</v>
      </c>
      <c r="B435" s="1" t="s">
        <v>1302</v>
      </c>
      <c r="C435" s="1" t="s">
        <v>52</v>
      </c>
      <c r="D435">
        <v>823068</v>
      </c>
      <c r="E435">
        <v>54729</v>
      </c>
      <c r="F435">
        <v>90537</v>
      </c>
      <c r="G435">
        <v>15</v>
      </c>
      <c r="H435" s="4">
        <v>107.89999999999999</v>
      </c>
      <c r="I435" s="2">
        <v>0.73333333333333295</v>
      </c>
      <c r="J435">
        <v>5</v>
      </c>
      <c r="K435">
        <v>2</v>
      </c>
      <c r="L435">
        <v>87</v>
      </c>
      <c r="M435" s="1" t="s">
        <v>1014</v>
      </c>
      <c r="N435" s="1" t="s">
        <v>1020</v>
      </c>
    </row>
    <row r="436" spans="1:14" x14ac:dyDescent="0.25">
      <c r="A436" s="1" t="s">
        <v>445</v>
      </c>
      <c r="B436" s="1" t="s">
        <v>1050</v>
      </c>
      <c r="C436" s="1" t="s">
        <v>3</v>
      </c>
      <c r="D436">
        <v>617706</v>
      </c>
      <c r="E436">
        <v>50611</v>
      </c>
      <c r="F436">
        <v>67948</v>
      </c>
      <c r="G436">
        <v>15</v>
      </c>
      <c r="H436" s="4">
        <v>101.6</v>
      </c>
      <c r="I436" s="2">
        <v>0.73333333333333295</v>
      </c>
      <c r="J436">
        <v>26</v>
      </c>
      <c r="K436">
        <v>3</v>
      </c>
      <c r="L436">
        <v>90</v>
      </c>
      <c r="M436" s="1" t="s">
        <v>1014</v>
      </c>
      <c r="N436" s="1" t="s">
        <v>1015</v>
      </c>
    </row>
    <row r="437" spans="1:14" x14ac:dyDescent="0.25">
      <c r="A437" s="1" t="s">
        <v>446</v>
      </c>
      <c r="B437" s="1" t="s">
        <v>1042</v>
      </c>
      <c r="C437" s="1" t="s">
        <v>5</v>
      </c>
      <c r="D437">
        <v>518177</v>
      </c>
      <c r="E437">
        <v>79324</v>
      </c>
      <c r="F437">
        <v>56999</v>
      </c>
      <c r="G437">
        <v>15</v>
      </c>
      <c r="H437" s="4">
        <v>104.1</v>
      </c>
      <c r="I437" s="2">
        <v>0.8</v>
      </c>
      <c r="J437">
        <v>0</v>
      </c>
      <c r="K437">
        <v>0</v>
      </c>
      <c r="L437">
        <v>67</v>
      </c>
      <c r="M437" s="1" t="s">
        <v>1016</v>
      </c>
      <c r="N437" s="1" t="s">
        <v>1019</v>
      </c>
    </row>
    <row r="438" spans="1:14" x14ac:dyDescent="0.25">
      <c r="A438" s="1" t="s">
        <v>447</v>
      </c>
      <c r="B438" s="1" t="s">
        <v>1108</v>
      </c>
      <c r="C438" s="1" t="s">
        <v>12</v>
      </c>
      <c r="D438">
        <v>836334</v>
      </c>
      <c r="E438">
        <v>32055</v>
      </c>
      <c r="F438">
        <v>91997</v>
      </c>
      <c r="G438">
        <v>15</v>
      </c>
      <c r="H438" s="4">
        <v>102.19999999999997</v>
      </c>
      <c r="I438" s="2">
        <v>0.8</v>
      </c>
      <c r="J438">
        <v>0</v>
      </c>
      <c r="K438">
        <v>0</v>
      </c>
      <c r="L438">
        <v>74</v>
      </c>
      <c r="M438" s="1" t="s">
        <v>1016</v>
      </c>
      <c r="N438" s="1" t="s">
        <v>1017</v>
      </c>
    </row>
    <row r="439" spans="1:14" x14ac:dyDescent="0.25">
      <c r="A439" s="1" t="s">
        <v>448</v>
      </c>
      <c r="B439" s="1" t="s">
        <v>1137</v>
      </c>
      <c r="C439" s="1" t="s">
        <v>7</v>
      </c>
      <c r="D439">
        <v>686456</v>
      </c>
      <c r="E439">
        <v>59474</v>
      </c>
      <c r="F439">
        <v>75510</v>
      </c>
      <c r="G439">
        <v>15</v>
      </c>
      <c r="H439" s="4">
        <v>95.700000000000017</v>
      </c>
      <c r="I439" s="2">
        <v>0.8</v>
      </c>
      <c r="J439">
        <v>0</v>
      </c>
      <c r="K439">
        <v>0</v>
      </c>
      <c r="L439">
        <v>75</v>
      </c>
      <c r="M439" s="1" t="s">
        <v>1018</v>
      </c>
      <c r="N439" s="1" t="s">
        <v>1017</v>
      </c>
    </row>
    <row r="440" spans="1:14" x14ac:dyDescent="0.25">
      <c r="A440" s="1" t="s">
        <v>449</v>
      </c>
      <c r="B440" s="1" t="s">
        <v>1188</v>
      </c>
      <c r="C440" s="1" t="s">
        <v>9</v>
      </c>
      <c r="D440">
        <v>590462</v>
      </c>
      <c r="E440">
        <v>49958</v>
      </c>
      <c r="F440">
        <v>64951</v>
      </c>
      <c r="G440">
        <v>15</v>
      </c>
      <c r="H440" s="4">
        <v>93.1</v>
      </c>
      <c r="I440" s="2">
        <v>0.8</v>
      </c>
      <c r="J440">
        <v>0</v>
      </c>
      <c r="K440">
        <v>0</v>
      </c>
      <c r="L440">
        <v>87</v>
      </c>
      <c r="M440" s="1" t="s">
        <v>1021</v>
      </c>
      <c r="N440" s="1" t="s">
        <v>1020</v>
      </c>
    </row>
    <row r="441" spans="1:14" x14ac:dyDescent="0.25">
      <c r="A441" s="1" t="s">
        <v>450</v>
      </c>
      <c r="B441" s="1" t="s">
        <v>1303</v>
      </c>
      <c r="C441" s="1" t="s">
        <v>23</v>
      </c>
      <c r="D441">
        <v>592683</v>
      </c>
      <c r="E441">
        <v>71824</v>
      </c>
      <c r="F441">
        <v>65195</v>
      </c>
      <c r="G441">
        <v>15</v>
      </c>
      <c r="H441" s="4">
        <v>100.9</v>
      </c>
      <c r="I441" s="2">
        <v>0.8</v>
      </c>
      <c r="J441">
        <v>11</v>
      </c>
      <c r="K441">
        <v>1</v>
      </c>
      <c r="L441">
        <v>84</v>
      </c>
      <c r="M441" s="1" t="s">
        <v>1021</v>
      </c>
      <c r="N441" s="1" t="s">
        <v>1020</v>
      </c>
    </row>
    <row r="442" spans="1:14" x14ac:dyDescent="0.25">
      <c r="A442" s="1" t="s">
        <v>451</v>
      </c>
      <c r="B442" s="1" t="s">
        <v>1136</v>
      </c>
      <c r="C442" s="1" t="s">
        <v>12</v>
      </c>
      <c r="D442">
        <v>444955</v>
      </c>
      <c r="E442">
        <v>1837</v>
      </c>
      <c r="F442">
        <v>48945</v>
      </c>
      <c r="G442">
        <v>15</v>
      </c>
      <c r="H442" s="4">
        <v>83.399999999999991</v>
      </c>
      <c r="I442" s="2">
        <v>0.6</v>
      </c>
      <c r="J442">
        <v>6</v>
      </c>
      <c r="K442">
        <v>1</v>
      </c>
      <c r="L442">
        <v>69</v>
      </c>
      <c r="M442" s="1" t="s">
        <v>1021</v>
      </c>
      <c r="N442" s="1" t="s">
        <v>1019</v>
      </c>
    </row>
    <row r="443" spans="1:14" x14ac:dyDescent="0.25">
      <c r="A443" s="1" t="s">
        <v>452</v>
      </c>
      <c r="B443" s="1" t="s">
        <v>1091</v>
      </c>
      <c r="C443" s="1" t="s">
        <v>3</v>
      </c>
      <c r="D443">
        <v>446522</v>
      </c>
      <c r="E443">
        <v>70461</v>
      </c>
      <c r="F443">
        <v>49117</v>
      </c>
      <c r="G443">
        <v>15</v>
      </c>
      <c r="H443" s="4">
        <v>110.89999999999999</v>
      </c>
      <c r="I443" s="2">
        <v>0.93333333333333302</v>
      </c>
      <c r="J443">
        <v>2</v>
      </c>
      <c r="K443">
        <v>1</v>
      </c>
      <c r="L443">
        <v>75</v>
      </c>
      <c r="M443" s="1" t="s">
        <v>1014</v>
      </c>
      <c r="N443" s="1" t="s">
        <v>1017</v>
      </c>
    </row>
    <row r="444" spans="1:14" x14ac:dyDescent="0.25">
      <c r="A444" s="1" t="s">
        <v>453</v>
      </c>
      <c r="B444" s="1" t="s">
        <v>1107</v>
      </c>
      <c r="C444" s="1" t="s">
        <v>1117</v>
      </c>
      <c r="D444">
        <v>732431</v>
      </c>
      <c r="E444">
        <v>23524</v>
      </c>
      <c r="F444">
        <v>80567</v>
      </c>
      <c r="G444">
        <v>14</v>
      </c>
      <c r="H444" s="4">
        <v>113</v>
      </c>
      <c r="I444" s="2">
        <v>0.85714285714285698</v>
      </c>
      <c r="J444">
        <v>7</v>
      </c>
      <c r="K444">
        <v>1</v>
      </c>
      <c r="L444">
        <v>90</v>
      </c>
      <c r="M444" s="1" t="s">
        <v>1016</v>
      </c>
      <c r="N444" s="1" t="s">
        <v>1015</v>
      </c>
    </row>
    <row r="445" spans="1:14" x14ac:dyDescent="0.25">
      <c r="A445" s="1" t="s">
        <v>454</v>
      </c>
      <c r="B445" s="1" t="s">
        <v>1304</v>
      </c>
      <c r="C445" s="1" t="s">
        <v>9</v>
      </c>
      <c r="D445">
        <v>714903</v>
      </c>
      <c r="E445">
        <v>78158</v>
      </c>
      <c r="F445">
        <v>78639</v>
      </c>
      <c r="G445">
        <v>15</v>
      </c>
      <c r="H445" s="4">
        <v>90.4</v>
      </c>
      <c r="I445" s="2">
        <v>0.66666666666666696</v>
      </c>
      <c r="J445">
        <v>8</v>
      </c>
      <c r="K445">
        <v>1</v>
      </c>
      <c r="L445">
        <v>71</v>
      </c>
      <c r="M445" s="1" t="s">
        <v>1016</v>
      </c>
      <c r="N445" s="1" t="s">
        <v>1017</v>
      </c>
    </row>
    <row r="446" spans="1:14" x14ac:dyDescent="0.25">
      <c r="A446" s="1" t="s">
        <v>455</v>
      </c>
      <c r="B446" s="1" t="s">
        <v>1133</v>
      </c>
      <c r="C446" s="1" t="s">
        <v>3</v>
      </c>
      <c r="D446">
        <v>686985</v>
      </c>
      <c r="E446">
        <v>32986</v>
      </c>
      <c r="F446">
        <v>75568</v>
      </c>
      <c r="G446">
        <v>15</v>
      </c>
      <c r="H446" s="4">
        <v>104.80000000000001</v>
      </c>
      <c r="I446" s="2">
        <v>0.8</v>
      </c>
      <c r="J446">
        <v>3</v>
      </c>
      <c r="K446">
        <v>1</v>
      </c>
      <c r="L446">
        <v>95</v>
      </c>
      <c r="M446" s="1" t="s">
        <v>1018</v>
      </c>
      <c r="N446" s="1" t="s">
        <v>1015</v>
      </c>
    </row>
    <row r="447" spans="1:14" x14ac:dyDescent="0.25">
      <c r="A447" s="1" t="s">
        <v>456</v>
      </c>
      <c r="B447" s="1" t="s">
        <v>1303</v>
      </c>
      <c r="C447" s="1" t="s">
        <v>52</v>
      </c>
      <c r="D447">
        <v>643031</v>
      </c>
      <c r="E447">
        <v>43887</v>
      </c>
      <c r="F447">
        <v>70733</v>
      </c>
      <c r="G447">
        <v>15</v>
      </c>
      <c r="H447" s="4">
        <v>105.99999999999999</v>
      </c>
      <c r="I447" s="2">
        <v>0.86666666666666703</v>
      </c>
      <c r="J447">
        <v>0</v>
      </c>
      <c r="K447">
        <v>0</v>
      </c>
      <c r="L447">
        <v>95</v>
      </c>
      <c r="M447" s="1" t="s">
        <v>1021</v>
      </c>
      <c r="N447" s="1" t="s">
        <v>1015</v>
      </c>
    </row>
    <row r="448" spans="1:14" x14ac:dyDescent="0.25">
      <c r="A448" s="1" t="s">
        <v>457</v>
      </c>
      <c r="B448" s="1" t="s">
        <v>1305</v>
      </c>
      <c r="C448" s="1" t="s">
        <v>12</v>
      </c>
      <c r="D448">
        <v>842576</v>
      </c>
      <c r="E448">
        <v>88090</v>
      </c>
      <c r="F448">
        <v>92683</v>
      </c>
      <c r="G448">
        <v>15</v>
      </c>
      <c r="H448" s="4">
        <v>99.5</v>
      </c>
      <c r="I448" s="2">
        <v>0.8</v>
      </c>
      <c r="J448">
        <v>6</v>
      </c>
      <c r="K448">
        <v>1</v>
      </c>
      <c r="L448">
        <v>86</v>
      </c>
      <c r="M448" s="1" t="s">
        <v>1021</v>
      </c>
      <c r="N448" s="1" t="s">
        <v>1020</v>
      </c>
    </row>
    <row r="449" spans="1:14" x14ac:dyDescent="0.25">
      <c r="A449" s="1" t="s">
        <v>458</v>
      </c>
      <c r="B449" s="1" t="s">
        <v>1306</v>
      </c>
      <c r="C449" s="1" t="s">
        <v>23</v>
      </c>
      <c r="D449">
        <v>813141</v>
      </c>
      <c r="E449">
        <v>67397</v>
      </c>
      <c r="F449">
        <v>89446</v>
      </c>
      <c r="G449">
        <v>15</v>
      </c>
      <c r="H449" s="4">
        <v>117.49999999999999</v>
      </c>
      <c r="I449" s="2">
        <v>0.93333333333333302</v>
      </c>
      <c r="J449">
        <v>9</v>
      </c>
      <c r="K449">
        <v>1</v>
      </c>
      <c r="L449">
        <v>71</v>
      </c>
      <c r="M449" s="1" t="s">
        <v>1413</v>
      </c>
      <c r="N449" s="1" t="s">
        <v>1017</v>
      </c>
    </row>
    <row r="450" spans="1:14" x14ac:dyDescent="0.25">
      <c r="A450" s="1" t="s">
        <v>459</v>
      </c>
      <c r="B450" s="1" t="s">
        <v>1030</v>
      </c>
      <c r="C450" s="1" t="s">
        <v>5</v>
      </c>
      <c r="D450">
        <v>281812</v>
      </c>
      <c r="E450">
        <v>28599</v>
      </c>
      <c r="F450">
        <v>30999</v>
      </c>
      <c r="G450">
        <v>15</v>
      </c>
      <c r="H450" s="4">
        <v>108.5</v>
      </c>
      <c r="I450" s="2">
        <v>0.73333333333333295</v>
      </c>
      <c r="J450">
        <v>14</v>
      </c>
      <c r="K450">
        <v>2</v>
      </c>
      <c r="L450">
        <v>72</v>
      </c>
      <c r="M450" s="1" t="s">
        <v>1014</v>
      </c>
      <c r="N450" s="1" t="s">
        <v>1017</v>
      </c>
    </row>
    <row r="451" spans="1:14" x14ac:dyDescent="0.25">
      <c r="A451" s="1" t="s">
        <v>460</v>
      </c>
      <c r="B451" s="1" t="s">
        <v>1273</v>
      </c>
      <c r="C451" s="1" t="s">
        <v>7</v>
      </c>
      <c r="D451">
        <v>617164</v>
      </c>
      <c r="E451">
        <v>30071</v>
      </c>
      <c r="F451">
        <v>67888</v>
      </c>
      <c r="G451">
        <v>15</v>
      </c>
      <c r="H451" s="4">
        <v>99.5</v>
      </c>
      <c r="I451" s="2">
        <v>0.66666666666666696</v>
      </c>
      <c r="J451">
        <v>0</v>
      </c>
      <c r="K451">
        <v>0</v>
      </c>
      <c r="L451">
        <v>59</v>
      </c>
      <c r="M451" s="1" t="s">
        <v>1021</v>
      </c>
      <c r="N451" s="1" t="s">
        <v>1019</v>
      </c>
    </row>
    <row r="452" spans="1:14" x14ac:dyDescent="0.25">
      <c r="A452" s="1" t="s">
        <v>461</v>
      </c>
      <c r="B452" s="1" t="s">
        <v>1071</v>
      </c>
      <c r="C452" s="1" t="s">
        <v>7</v>
      </c>
      <c r="D452">
        <v>291414</v>
      </c>
      <c r="E452">
        <v>55681</v>
      </c>
      <c r="F452">
        <v>32056</v>
      </c>
      <c r="G452">
        <v>15</v>
      </c>
      <c r="H452" s="4">
        <v>115.2</v>
      </c>
      <c r="I452" s="2">
        <v>0.73333333333333295</v>
      </c>
      <c r="J452">
        <v>9</v>
      </c>
      <c r="K452">
        <v>1</v>
      </c>
      <c r="L452">
        <v>79</v>
      </c>
      <c r="M452" s="1" t="s">
        <v>1018</v>
      </c>
      <c r="N452" s="1" t="s">
        <v>1017</v>
      </c>
    </row>
    <row r="453" spans="1:14" x14ac:dyDescent="0.25">
      <c r="A453" s="1" t="s">
        <v>462</v>
      </c>
      <c r="B453" s="1" t="s">
        <v>1111</v>
      </c>
      <c r="C453" s="1" t="s">
        <v>7</v>
      </c>
      <c r="D453">
        <v>775841</v>
      </c>
      <c r="E453">
        <v>59166</v>
      </c>
      <c r="F453">
        <v>85343</v>
      </c>
      <c r="G453">
        <v>15</v>
      </c>
      <c r="H453" s="4">
        <v>99.999999999999986</v>
      </c>
      <c r="I453" s="2">
        <v>0.73333333333333295</v>
      </c>
      <c r="J453">
        <v>11</v>
      </c>
      <c r="K453">
        <v>1</v>
      </c>
      <c r="L453">
        <v>69</v>
      </c>
      <c r="M453" s="1" t="s">
        <v>1021</v>
      </c>
      <c r="N453" s="1" t="s">
        <v>1019</v>
      </c>
    </row>
    <row r="454" spans="1:14" x14ac:dyDescent="0.25">
      <c r="A454" s="1" t="s">
        <v>463</v>
      </c>
      <c r="B454" s="1" t="s">
        <v>1080</v>
      </c>
      <c r="C454" s="1" t="s">
        <v>9</v>
      </c>
      <c r="D454">
        <v>361795</v>
      </c>
      <c r="E454">
        <v>65411</v>
      </c>
      <c r="F454">
        <v>39797</v>
      </c>
      <c r="G454">
        <v>15</v>
      </c>
      <c r="H454" s="4">
        <v>90.600000000000009</v>
      </c>
      <c r="I454" s="2">
        <v>0.73333333333333295</v>
      </c>
      <c r="J454">
        <v>0</v>
      </c>
      <c r="K454">
        <v>0</v>
      </c>
      <c r="L454">
        <v>84</v>
      </c>
      <c r="M454" s="1" t="s">
        <v>1016</v>
      </c>
      <c r="N454" s="1" t="s">
        <v>1020</v>
      </c>
    </row>
    <row r="455" spans="1:14" x14ac:dyDescent="0.25">
      <c r="A455" s="1" t="s">
        <v>464</v>
      </c>
      <c r="B455" s="1" t="s">
        <v>1307</v>
      </c>
      <c r="C455" s="1" t="s">
        <v>1037</v>
      </c>
      <c r="D455">
        <v>448461</v>
      </c>
      <c r="E455">
        <v>40387</v>
      </c>
      <c r="F455">
        <v>49331</v>
      </c>
      <c r="G455">
        <v>15</v>
      </c>
      <c r="H455" s="4">
        <v>103.3</v>
      </c>
      <c r="I455" s="2">
        <v>0.73333333333333295</v>
      </c>
      <c r="J455">
        <v>0</v>
      </c>
      <c r="K455">
        <v>0</v>
      </c>
      <c r="L455">
        <v>95</v>
      </c>
      <c r="M455" s="1" t="s">
        <v>1014</v>
      </c>
      <c r="N455" s="1" t="s">
        <v>1015</v>
      </c>
    </row>
    <row r="456" spans="1:14" x14ac:dyDescent="0.25">
      <c r="A456" s="1" t="s">
        <v>465</v>
      </c>
      <c r="B456" s="1" t="s">
        <v>1060</v>
      </c>
      <c r="C456" s="1" t="s">
        <v>23</v>
      </c>
      <c r="D456">
        <v>569304</v>
      </c>
      <c r="E456">
        <v>63787</v>
      </c>
      <c r="F456">
        <v>62623</v>
      </c>
      <c r="G456">
        <v>15</v>
      </c>
      <c r="H456" s="4">
        <v>77</v>
      </c>
      <c r="I456" s="2">
        <v>0.6</v>
      </c>
      <c r="J456">
        <v>6</v>
      </c>
      <c r="K456">
        <v>1</v>
      </c>
      <c r="L456">
        <v>65</v>
      </c>
      <c r="M456" s="1" t="s">
        <v>1014</v>
      </c>
      <c r="N456" s="1" t="s">
        <v>1019</v>
      </c>
    </row>
    <row r="457" spans="1:14" x14ac:dyDescent="0.25">
      <c r="A457" s="1" t="s">
        <v>466</v>
      </c>
      <c r="B457" s="1" t="s">
        <v>1189</v>
      </c>
      <c r="C457" s="1" t="s">
        <v>7</v>
      </c>
      <c r="D457">
        <v>408593</v>
      </c>
      <c r="E457">
        <v>631</v>
      </c>
      <c r="F457">
        <v>44945</v>
      </c>
      <c r="G457">
        <v>15</v>
      </c>
      <c r="H457" s="4">
        <v>105.1</v>
      </c>
      <c r="I457" s="2">
        <v>0.86666666666666703</v>
      </c>
      <c r="J457">
        <v>8</v>
      </c>
      <c r="K457">
        <v>1</v>
      </c>
      <c r="L457">
        <v>92</v>
      </c>
      <c r="M457" s="1" t="s">
        <v>1413</v>
      </c>
      <c r="N457" s="1" t="s">
        <v>1015</v>
      </c>
    </row>
    <row r="458" spans="1:14" x14ac:dyDescent="0.25">
      <c r="A458" s="1" t="s">
        <v>467</v>
      </c>
      <c r="B458" s="1" t="s">
        <v>1308</v>
      </c>
      <c r="C458" s="1" t="s">
        <v>1037</v>
      </c>
      <c r="D458">
        <v>652270</v>
      </c>
      <c r="E458">
        <v>7630</v>
      </c>
      <c r="F458">
        <v>71750</v>
      </c>
      <c r="G458">
        <v>14</v>
      </c>
      <c r="H458" s="4">
        <v>98.6</v>
      </c>
      <c r="I458" s="2">
        <v>0.5</v>
      </c>
      <c r="J458">
        <v>0</v>
      </c>
      <c r="K458">
        <v>0</v>
      </c>
      <c r="L458">
        <v>68</v>
      </c>
      <c r="M458" s="1" t="s">
        <v>1413</v>
      </c>
      <c r="N458" s="1" t="s">
        <v>1019</v>
      </c>
    </row>
    <row r="459" spans="1:14" x14ac:dyDescent="0.25">
      <c r="A459" s="1" t="s">
        <v>468</v>
      </c>
      <c r="B459" s="1" t="s">
        <v>1044</v>
      </c>
      <c r="C459" s="1" t="s">
        <v>12</v>
      </c>
      <c r="D459">
        <v>357214</v>
      </c>
      <c r="E459">
        <v>27433</v>
      </c>
      <c r="F459">
        <v>39294</v>
      </c>
      <c r="G459">
        <v>15</v>
      </c>
      <c r="H459" s="4">
        <v>102.60000000000001</v>
      </c>
      <c r="I459" s="2">
        <v>0.86666666666666703</v>
      </c>
      <c r="J459">
        <v>13</v>
      </c>
      <c r="K459">
        <v>2</v>
      </c>
      <c r="L459">
        <v>64</v>
      </c>
      <c r="M459" s="1" t="s">
        <v>1018</v>
      </c>
      <c r="N459" s="1" t="s">
        <v>1019</v>
      </c>
    </row>
    <row r="460" spans="1:14" x14ac:dyDescent="0.25">
      <c r="A460" s="1" t="s">
        <v>469</v>
      </c>
      <c r="B460" s="1" t="s">
        <v>1309</v>
      </c>
      <c r="C460" s="1" t="s">
        <v>5</v>
      </c>
      <c r="D460">
        <v>328403</v>
      </c>
      <c r="E460">
        <v>62796</v>
      </c>
      <c r="F460">
        <v>36124</v>
      </c>
      <c r="G460">
        <v>15</v>
      </c>
      <c r="H460" s="4">
        <v>103.80000000000001</v>
      </c>
      <c r="I460" s="2">
        <v>0.8</v>
      </c>
      <c r="J460">
        <v>0</v>
      </c>
      <c r="K460">
        <v>0</v>
      </c>
      <c r="L460">
        <v>59</v>
      </c>
      <c r="M460" s="1" t="s">
        <v>1021</v>
      </c>
      <c r="N460" s="1" t="s">
        <v>1019</v>
      </c>
    </row>
    <row r="461" spans="1:14" x14ac:dyDescent="0.25">
      <c r="A461" s="1" t="s">
        <v>470</v>
      </c>
      <c r="B461" s="1" t="s">
        <v>1140</v>
      </c>
      <c r="C461" s="1" t="s">
        <v>37</v>
      </c>
      <c r="D461">
        <v>661432</v>
      </c>
      <c r="E461">
        <v>14843</v>
      </c>
      <c r="F461">
        <v>72758</v>
      </c>
      <c r="G461">
        <v>15</v>
      </c>
      <c r="H461" s="4">
        <v>98.000000000000014</v>
      </c>
      <c r="I461" s="2">
        <v>0.66666666666666696</v>
      </c>
      <c r="J461">
        <v>0</v>
      </c>
      <c r="K461">
        <v>0</v>
      </c>
      <c r="L461">
        <v>94</v>
      </c>
      <c r="M461" s="1" t="s">
        <v>1018</v>
      </c>
      <c r="N461" s="1" t="s">
        <v>1015</v>
      </c>
    </row>
    <row r="462" spans="1:14" x14ac:dyDescent="0.25">
      <c r="A462" s="1" t="s">
        <v>471</v>
      </c>
      <c r="B462" s="1" t="s">
        <v>1236</v>
      </c>
      <c r="C462" s="1" t="s">
        <v>1037</v>
      </c>
      <c r="D462">
        <v>381185</v>
      </c>
      <c r="E462">
        <v>47243</v>
      </c>
      <c r="F462">
        <v>41930</v>
      </c>
      <c r="G462">
        <v>15</v>
      </c>
      <c r="H462" s="4">
        <v>109.39999999999999</v>
      </c>
      <c r="I462" s="2">
        <v>0.86666666666666703</v>
      </c>
      <c r="J462">
        <v>13</v>
      </c>
      <c r="K462">
        <v>3</v>
      </c>
      <c r="L462">
        <v>74</v>
      </c>
      <c r="M462" s="1" t="s">
        <v>1413</v>
      </c>
      <c r="N462" s="1" t="s">
        <v>1017</v>
      </c>
    </row>
    <row r="463" spans="1:14" x14ac:dyDescent="0.25">
      <c r="A463" s="1" t="s">
        <v>472</v>
      </c>
      <c r="B463" s="1" t="s">
        <v>1310</v>
      </c>
      <c r="C463" s="1" t="s">
        <v>5</v>
      </c>
      <c r="D463">
        <v>387477</v>
      </c>
      <c r="E463">
        <v>54365</v>
      </c>
      <c r="F463">
        <v>42622</v>
      </c>
      <c r="G463">
        <v>15</v>
      </c>
      <c r="H463" s="4">
        <v>68.400000000000006</v>
      </c>
      <c r="I463" s="2">
        <v>0.4</v>
      </c>
      <c r="J463">
        <v>0</v>
      </c>
      <c r="K463">
        <v>0</v>
      </c>
      <c r="L463">
        <v>85</v>
      </c>
      <c r="M463" s="1" t="s">
        <v>1016</v>
      </c>
      <c r="N463" s="1" t="s">
        <v>1020</v>
      </c>
    </row>
    <row r="464" spans="1:14" x14ac:dyDescent="0.25">
      <c r="A464" s="1" t="s">
        <v>473</v>
      </c>
      <c r="B464" s="1" t="s">
        <v>1058</v>
      </c>
      <c r="C464" s="1" t="s">
        <v>3</v>
      </c>
      <c r="D464">
        <v>287352</v>
      </c>
      <c r="E464">
        <v>72037</v>
      </c>
      <c r="F464">
        <v>31609</v>
      </c>
      <c r="G464">
        <v>15</v>
      </c>
      <c r="H464" s="4">
        <v>111</v>
      </c>
      <c r="I464" s="2">
        <v>0.86666666666666703</v>
      </c>
      <c r="J464">
        <v>14</v>
      </c>
      <c r="K464">
        <v>1</v>
      </c>
      <c r="L464">
        <v>90</v>
      </c>
      <c r="M464" s="1" t="s">
        <v>1413</v>
      </c>
      <c r="N464" s="1" t="s">
        <v>1015</v>
      </c>
    </row>
    <row r="465" spans="1:14" x14ac:dyDescent="0.25">
      <c r="A465" s="1" t="s">
        <v>474</v>
      </c>
      <c r="B465" s="1" t="s">
        <v>1311</v>
      </c>
      <c r="C465" s="1" t="s">
        <v>23</v>
      </c>
      <c r="D465">
        <v>470230</v>
      </c>
      <c r="E465">
        <v>78533</v>
      </c>
      <c r="F465">
        <v>51725</v>
      </c>
      <c r="G465">
        <v>15</v>
      </c>
      <c r="H465" s="4">
        <v>103.39999999999999</v>
      </c>
      <c r="I465" s="2">
        <v>0.73333333333333295</v>
      </c>
      <c r="J465">
        <v>0</v>
      </c>
      <c r="K465">
        <v>0</v>
      </c>
      <c r="L465">
        <v>72</v>
      </c>
      <c r="M465" s="1" t="s">
        <v>1021</v>
      </c>
      <c r="N465" s="1" t="s">
        <v>1017</v>
      </c>
    </row>
    <row r="466" spans="1:14" x14ac:dyDescent="0.25">
      <c r="A466" s="1" t="s">
        <v>475</v>
      </c>
      <c r="B466" s="1" t="s">
        <v>1312</v>
      </c>
      <c r="C466" s="1" t="s">
        <v>52</v>
      </c>
      <c r="D466">
        <v>258970</v>
      </c>
      <c r="E466">
        <v>80180</v>
      </c>
      <c r="F466">
        <v>28487</v>
      </c>
      <c r="G466">
        <v>15</v>
      </c>
      <c r="H466" s="4">
        <v>109.8</v>
      </c>
      <c r="I466" s="2">
        <v>0.86666666666666703</v>
      </c>
      <c r="J466">
        <v>9</v>
      </c>
      <c r="K466">
        <v>1</v>
      </c>
      <c r="L466">
        <v>68</v>
      </c>
      <c r="M466" s="1" t="s">
        <v>1018</v>
      </c>
      <c r="N466" s="1" t="s">
        <v>1019</v>
      </c>
    </row>
    <row r="467" spans="1:14" x14ac:dyDescent="0.25">
      <c r="A467" s="1" t="s">
        <v>476</v>
      </c>
      <c r="B467" s="1" t="s">
        <v>1313</v>
      </c>
      <c r="C467" s="1" t="s">
        <v>9</v>
      </c>
      <c r="D467">
        <v>273282</v>
      </c>
      <c r="E467">
        <v>53449</v>
      </c>
      <c r="F467">
        <v>30061</v>
      </c>
      <c r="G467">
        <v>15</v>
      </c>
      <c r="H467" s="4">
        <v>113.8</v>
      </c>
      <c r="I467" s="2">
        <v>0.8</v>
      </c>
      <c r="J467">
        <v>9</v>
      </c>
      <c r="K467">
        <v>1</v>
      </c>
      <c r="L467">
        <v>96</v>
      </c>
      <c r="M467" s="1" t="s">
        <v>1014</v>
      </c>
      <c r="N467" s="1" t="s">
        <v>1015</v>
      </c>
    </row>
    <row r="468" spans="1:14" x14ac:dyDescent="0.25">
      <c r="A468" s="1" t="s">
        <v>477</v>
      </c>
      <c r="B468" s="1" t="s">
        <v>1137</v>
      </c>
      <c r="C468" s="1" t="s">
        <v>37</v>
      </c>
      <c r="D468">
        <v>761292</v>
      </c>
      <c r="E468">
        <v>39687</v>
      </c>
      <c r="F468">
        <v>83742</v>
      </c>
      <c r="G468">
        <v>15</v>
      </c>
      <c r="H468" s="4">
        <v>78</v>
      </c>
      <c r="I468" s="2">
        <v>0.46666666666666701</v>
      </c>
      <c r="J468">
        <v>6</v>
      </c>
      <c r="K468">
        <v>1</v>
      </c>
      <c r="L468">
        <v>77</v>
      </c>
      <c r="M468" s="1" t="s">
        <v>1413</v>
      </c>
      <c r="N468" s="1" t="s">
        <v>1017</v>
      </c>
    </row>
    <row r="469" spans="1:14" x14ac:dyDescent="0.25">
      <c r="A469" s="1" t="s">
        <v>478</v>
      </c>
      <c r="B469" s="1" t="s">
        <v>1314</v>
      </c>
      <c r="C469" s="1" t="s">
        <v>3</v>
      </c>
      <c r="D469">
        <v>424021</v>
      </c>
      <c r="E469">
        <v>79530</v>
      </c>
      <c r="F469">
        <v>46642</v>
      </c>
      <c r="G469">
        <v>15</v>
      </c>
      <c r="H469" s="4">
        <v>104.09999999999998</v>
      </c>
      <c r="I469" s="2">
        <v>0.86666666666666703</v>
      </c>
      <c r="J469">
        <v>0</v>
      </c>
      <c r="K469">
        <v>0</v>
      </c>
      <c r="L469">
        <v>70</v>
      </c>
      <c r="M469" s="1" t="s">
        <v>1021</v>
      </c>
      <c r="N469" s="1" t="s">
        <v>1017</v>
      </c>
    </row>
    <row r="470" spans="1:14" x14ac:dyDescent="0.25">
      <c r="A470" s="1" t="s">
        <v>479</v>
      </c>
      <c r="B470" s="1" t="s">
        <v>1253</v>
      </c>
      <c r="C470" s="1" t="s">
        <v>5</v>
      </c>
      <c r="D470">
        <v>293789</v>
      </c>
      <c r="E470">
        <v>36621</v>
      </c>
      <c r="F470">
        <v>32317</v>
      </c>
      <c r="G470">
        <v>15</v>
      </c>
      <c r="H470" s="4">
        <v>105.40000000000002</v>
      </c>
      <c r="I470" s="2">
        <v>0.6</v>
      </c>
      <c r="J470">
        <v>2</v>
      </c>
      <c r="K470">
        <v>1</v>
      </c>
      <c r="L470">
        <v>90</v>
      </c>
      <c r="M470" s="1" t="s">
        <v>1021</v>
      </c>
      <c r="N470" s="1" t="s">
        <v>1015</v>
      </c>
    </row>
    <row r="471" spans="1:14" x14ac:dyDescent="0.25">
      <c r="A471" s="1" t="s">
        <v>480</v>
      </c>
      <c r="B471" s="1" t="s">
        <v>1289</v>
      </c>
      <c r="C471" s="1" t="s">
        <v>27</v>
      </c>
      <c r="D471">
        <v>527352</v>
      </c>
      <c r="E471">
        <v>25775</v>
      </c>
      <c r="F471">
        <v>58009</v>
      </c>
      <c r="G471">
        <v>15</v>
      </c>
      <c r="H471" s="4">
        <v>95.600000000000009</v>
      </c>
      <c r="I471" s="2">
        <v>0.66666666666666696</v>
      </c>
      <c r="J471">
        <v>0</v>
      </c>
      <c r="K471">
        <v>0</v>
      </c>
      <c r="L471">
        <v>55</v>
      </c>
      <c r="M471" s="1" t="s">
        <v>1014</v>
      </c>
      <c r="N471" s="1" t="s">
        <v>1019</v>
      </c>
    </row>
    <row r="472" spans="1:14" x14ac:dyDescent="0.25">
      <c r="A472" s="1" t="s">
        <v>481</v>
      </c>
      <c r="B472" s="1" t="s">
        <v>1315</v>
      </c>
      <c r="C472" s="1" t="s">
        <v>37</v>
      </c>
      <c r="D472">
        <v>224040</v>
      </c>
      <c r="E472">
        <v>30816</v>
      </c>
      <c r="F472">
        <v>24644</v>
      </c>
      <c r="G472">
        <v>15</v>
      </c>
      <c r="H472" s="4">
        <v>115</v>
      </c>
      <c r="I472" s="2">
        <v>0.86666666666666703</v>
      </c>
      <c r="J472">
        <v>0</v>
      </c>
      <c r="K472">
        <v>0</v>
      </c>
      <c r="L472">
        <v>93</v>
      </c>
      <c r="M472" s="1" t="s">
        <v>1018</v>
      </c>
      <c r="N472" s="1" t="s">
        <v>1015</v>
      </c>
    </row>
    <row r="473" spans="1:14" x14ac:dyDescent="0.25">
      <c r="A473" s="1" t="s">
        <v>482</v>
      </c>
      <c r="B473" s="1" t="s">
        <v>1173</v>
      </c>
      <c r="C473" s="1" t="s">
        <v>27</v>
      </c>
      <c r="D473">
        <v>586681</v>
      </c>
      <c r="E473">
        <v>9204</v>
      </c>
      <c r="F473">
        <v>64535</v>
      </c>
      <c r="G473">
        <v>15</v>
      </c>
      <c r="H473" s="4">
        <v>92.3</v>
      </c>
      <c r="I473" s="2">
        <v>0.8</v>
      </c>
      <c r="J473">
        <v>0</v>
      </c>
      <c r="K473">
        <v>0</v>
      </c>
      <c r="L473">
        <v>92</v>
      </c>
      <c r="M473" s="1" t="s">
        <v>1413</v>
      </c>
      <c r="N473" s="1" t="s">
        <v>1015</v>
      </c>
    </row>
    <row r="474" spans="1:14" x14ac:dyDescent="0.25">
      <c r="A474" s="1" t="s">
        <v>483</v>
      </c>
      <c r="B474" s="1" t="s">
        <v>1283</v>
      </c>
      <c r="C474" s="1" t="s">
        <v>52</v>
      </c>
      <c r="D474">
        <v>546223</v>
      </c>
      <c r="E474">
        <v>62767</v>
      </c>
      <c r="F474">
        <v>60085</v>
      </c>
      <c r="G474">
        <v>15</v>
      </c>
      <c r="H474" s="4">
        <v>113.30000000000001</v>
      </c>
      <c r="I474" s="2">
        <v>0.73333333333333295</v>
      </c>
      <c r="J474">
        <v>0</v>
      </c>
      <c r="K474">
        <v>0</v>
      </c>
      <c r="L474">
        <v>75</v>
      </c>
      <c r="M474" s="1" t="s">
        <v>1016</v>
      </c>
      <c r="N474" s="1" t="s">
        <v>1017</v>
      </c>
    </row>
    <row r="475" spans="1:14" x14ac:dyDescent="0.25">
      <c r="A475" s="1" t="s">
        <v>484</v>
      </c>
      <c r="B475" s="1" t="s">
        <v>1255</v>
      </c>
      <c r="C475" s="1" t="s">
        <v>1037</v>
      </c>
      <c r="D475">
        <v>601213</v>
      </c>
      <c r="E475">
        <v>9608</v>
      </c>
      <c r="F475">
        <v>66133</v>
      </c>
      <c r="G475">
        <v>15</v>
      </c>
      <c r="H475" s="4">
        <v>97.300000000000011</v>
      </c>
      <c r="I475" s="2">
        <v>0.66666666666666696</v>
      </c>
      <c r="J475">
        <v>0</v>
      </c>
      <c r="K475">
        <v>0</v>
      </c>
      <c r="L475">
        <v>76</v>
      </c>
      <c r="M475" s="1" t="s">
        <v>1021</v>
      </c>
      <c r="N475" s="1" t="s">
        <v>1017</v>
      </c>
    </row>
    <row r="476" spans="1:14" x14ac:dyDescent="0.25">
      <c r="A476" s="1" t="s">
        <v>485</v>
      </c>
      <c r="B476" s="1" t="s">
        <v>1233</v>
      </c>
      <c r="C476" s="1" t="s">
        <v>5</v>
      </c>
      <c r="D476">
        <v>363864</v>
      </c>
      <c r="E476">
        <v>42228</v>
      </c>
      <c r="F476">
        <v>40025</v>
      </c>
      <c r="G476">
        <v>15</v>
      </c>
      <c r="H476" s="4">
        <v>112.20000000000002</v>
      </c>
      <c r="I476" s="2">
        <v>0.93333333333333302</v>
      </c>
      <c r="J476">
        <v>0</v>
      </c>
      <c r="K476">
        <v>0</v>
      </c>
      <c r="L476">
        <v>59</v>
      </c>
      <c r="M476" s="1" t="s">
        <v>1021</v>
      </c>
      <c r="N476" s="1" t="s">
        <v>1019</v>
      </c>
    </row>
    <row r="477" spans="1:14" x14ac:dyDescent="0.25">
      <c r="A477" s="1" t="s">
        <v>486</v>
      </c>
      <c r="B477" s="1" t="s">
        <v>1301</v>
      </c>
      <c r="C477" s="1" t="s">
        <v>12</v>
      </c>
      <c r="D477">
        <v>435345</v>
      </c>
      <c r="E477">
        <v>12486</v>
      </c>
      <c r="F477">
        <v>47888</v>
      </c>
      <c r="G477">
        <v>15</v>
      </c>
      <c r="H477" s="4">
        <v>113.89999999999999</v>
      </c>
      <c r="I477" s="2">
        <v>0.86666666666666703</v>
      </c>
      <c r="J477">
        <v>0</v>
      </c>
      <c r="K477">
        <v>0</v>
      </c>
      <c r="L477">
        <v>67</v>
      </c>
      <c r="M477" s="1" t="s">
        <v>1021</v>
      </c>
      <c r="N477" s="1" t="s">
        <v>1019</v>
      </c>
    </row>
    <row r="478" spans="1:14" x14ac:dyDescent="0.25">
      <c r="A478" s="1" t="s">
        <v>487</v>
      </c>
      <c r="B478" s="1" t="s">
        <v>1316</v>
      </c>
      <c r="C478" s="1" t="s">
        <v>37</v>
      </c>
      <c r="D478">
        <v>848606</v>
      </c>
      <c r="E478">
        <v>70908</v>
      </c>
      <c r="F478">
        <v>93347</v>
      </c>
      <c r="G478">
        <v>15</v>
      </c>
      <c r="H478" s="4">
        <v>110.8</v>
      </c>
      <c r="I478" s="2">
        <v>0.86666666666666703</v>
      </c>
      <c r="J478">
        <v>0</v>
      </c>
      <c r="K478">
        <v>0</v>
      </c>
      <c r="L478">
        <v>66</v>
      </c>
      <c r="M478" s="1" t="s">
        <v>1018</v>
      </c>
      <c r="N478" s="1" t="s">
        <v>1019</v>
      </c>
    </row>
    <row r="479" spans="1:14" x14ac:dyDescent="0.25">
      <c r="A479" s="1" t="s">
        <v>488</v>
      </c>
      <c r="B479" s="1" t="s">
        <v>1317</v>
      </c>
      <c r="C479" s="1" t="s">
        <v>9</v>
      </c>
      <c r="D479">
        <v>818397</v>
      </c>
      <c r="E479">
        <v>80527</v>
      </c>
      <c r="F479">
        <v>90024</v>
      </c>
      <c r="G479">
        <v>15</v>
      </c>
      <c r="H479" s="4">
        <v>103.9</v>
      </c>
      <c r="I479" s="2">
        <v>0.73333333333333295</v>
      </c>
      <c r="J479">
        <v>13</v>
      </c>
      <c r="K479">
        <v>1</v>
      </c>
      <c r="L479">
        <v>86</v>
      </c>
      <c r="M479" s="1" t="s">
        <v>1014</v>
      </c>
      <c r="N479" s="1" t="s">
        <v>1020</v>
      </c>
    </row>
    <row r="480" spans="1:14" x14ac:dyDescent="0.25">
      <c r="A480" s="1" t="s">
        <v>489</v>
      </c>
      <c r="B480" s="1" t="s">
        <v>1100</v>
      </c>
      <c r="C480" s="1" t="s">
        <v>52</v>
      </c>
      <c r="D480">
        <v>792315</v>
      </c>
      <c r="E480">
        <v>84532</v>
      </c>
      <c r="F480">
        <v>87155</v>
      </c>
      <c r="G480">
        <v>14</v>
      </c>
      <c r="H480" s="4">
        <v>102.10000000000001</v>
      </c>
      <c r="I480" s="2">
        <v>0.92857142857142905</v>
      </c>
      <c r="J480">
        <v>0</v>
      </c>
      <c r="K480">
        <v>0</v>
      </c>
      <c r="L480">
        <v>72</v>
      </c>
      <c r="M480" s="1" t="s">
        <v>1021</v>
      </c>
      <c r="N480" s="1" t="s">
        <v>1017</v>
      </c>
    </row>
    <row r="481" spans="1:14" x14ac:dyDescent="0.25">
      <c r="A481" s="1" t="s">
        <v>490</v>
      </c>
      <c r="B481" s="1" t="s">
        <v>1318</v>
      </c>
      <c r="C481" s="1" t="s">
        <v>37</v>
      </c>
      <c r="D481">
        <v>553956</v>
      </c>
      <c r="E481">
        <v>14902</v>
      </c>
      <c r="F481">
        <v>60935</v>
      </c>
      <c r="G481">
        <v>15</v>
      </c>
      <c r="H481" s="4">
        <v>106.2</v>
      </c>
      <c r="I481" s="2">
        <v>0.86666666666666703</v>
      </c>
      <c r="J481">
        <v>7</v>
      </c>
      <c r="K481">
        <v>1</v>
      </c>
      <c r="L481">
        <v>81</v>
      </c>
      <c r="M481" s="1" t="s">
        <v>1018</v>
      </c>
      <c r="N481" s="1" t="s">
        <v>1020</v>
      </c>
    </row>
    <row r="482" spans="1:14" x14ac:dyDescent="0.25">
      <c r="A482" s="1" t="s">
        <v>491</v>
      </c>
      <c r="B482" s="1" t="s">
        <v>1319</v>
      </c>
      <c r="C482" s="1" t="s">
        <v>23</v>
      </c>
      <c r="D482">
        <v>639774</v>
      </c>
      <c r="E482">
        <v>27379</v>
      </c>
      <c r="F482">
        <v>70375</v>
      </c>
      <c r="G482">
        <v>15</v>
      </c>
      <c r="H482" s="4">
        <v>113</v>
      </c>
      <c r="I482" s="2">
        <v>0.73333333333333295</v>
      </c>
      <c r="J482">
        <v>0</v>
      </c>
      <c r="K482">
        <v>0</v>
      </c>
      <c r="L482">
        <v>58</v>
      </c>
      <c r="M482" s="1" t="s">
        <v>1018</v>
      </c>
      <c r="N482" s="1" t="s">
        <v>1019</v>
      </c>
    </row>
    <row r="483" spans="1:14" x14ac:dyDescent="0.25">
      <c r="A483" s="1" t="s">
        <v>492</v>
      </c>
      <c r="B483" s="1" t="s">
        <v>1058</v>
      </c>
      <c r="C483" s="1" t="s">
        <v>1037</v>
      </c>
      <c r="D483">
        <v>787133</v>
      </c>
      <c r="E483">
        <v>72254</v>
      </c>
      <c r="F483">
        <v>86585</v>
      </c>
      <c r="G483">
        <v>15</v>
      </c>
      <c r="H483" s="4">
        <v>85.600000000000009</v>
      </c>
      <c r="I483" s="2">
        <v>0.66666666666666696</v>
      </c>
      <c r="J483">
        <v>14</v>
      </c>
      <c r="K483">
        <v>1</v>
      </c>
      <c r="L483">
        <v>86</v>
      </c>
      <c r="M483" s="1" t="s">
        <v>1021</v>
      </c>
      <c r="N483" s="1" t="s">
        <v>1020</v>
      </c>
    </row>
    <row r="484" spans="1:14" x14ac:dyDescent="0.25">
      <c r="A484" s="1" t="s">
        <v>493</v>
      </c>
      <c r="B484" s="1" t="s">
        <v>1320</v>
      </c>
      <c r="C484" s="1" t="s">
        <v>7</v>
      </c>
      <c r="D484">
        <v>336747</v>
      </c>
      <c r="E484">
        <v>13101</v>
      </c>
      <c r="F484">
        <v>37042</v>
      </c>
      <c r="G484">
        <v>15</v>
      </c>
      <c r="H484" s="4">
        <v>115.19999999999999</v>
      </c>
      <c r="I484" s="2">
        <v>0.8</v>
      </c>
      <c r="J484">
        <v>0</v>
      </c>
      <c r="K484">
        <v>0</v>
      </c>
      <c r="L484">
        <v>84</v>
      </c>
      <c r="M484" s="1" t="s">
        <v>1413</v>
      </c>
      <c r="N484" s="1" t="s">
        <v>1020</v>
      </c>
    </row>
    <row r="485" spans="1:14" x14ac:dyDescent="0.25">
      <c r="A485" s="1" t="s">
        <v>494</v>
      </c>
      <c r="B485" s="1" t="s">
        <v>1187</v>
      </c>
      <c r="C485" s="1" t="s">
        <v>52</v>
      </c>
      <c r="D485">
        <v>773164</v>
      </c>
      <c r="E485">
        <v>5467</v>
      </c>
      <c r="G485">
        <v>15</v>
      </c>
      <c r="H485" s="4">
        <v>104.89999999999999</v>
      </c>
      <c r="I485" s="2">
        <v>0.8</v>
      </c>
      <c r="J485">
        <v>0</v>
      </c>
      <c r="K485">
        <v>0</v>
      </c>
      <c r="L485">
        <v>94</v>
      </c>
      <c r="M485" s="1" t="s">
        <v>1413</v>
      </c>
      <c r="N485" s="1" t="s">
        <v>1015</v>
      </c>
    </row>
    <row r="486" spans="1:14" x14ac:dyDescent="0.25">
      <c r="A486" s="1" t="s">
        <v>495</v>
      </c>
      <c r="B486" s="1" t="s">
        <v>1245</v>
      </c>
      <c r="C486" s="1" t="s">
        <v>5</v>
      </c>
      <c r="D486">
        <v>730981</v>
      </c>
      <c r="E486">
        <v>87386</v>
      </c>
      <c r="F486">
        <v>80408</v>
      </c>
      <c r="G486">
        <v>15</v>
      </c>
      <c r="H486" s="4">
        <v>121.49999999999999</v>
      </c>
      <c r="I486" s="2">
        <v>0.93333333333333302</v>
      </c>
      <c r="J486">
        <v>0</v>
      </c>
      <c r="K486">
        <v>0</v>
      </c>
      <c r="L486">
        <v>97</v>
      </c>
      <c r="M486" s="1" t="s">
        <v>1016</v>
      </c>
      <c r="N486" s="1" t="s">
        <v>1015</v>
      </c>
    </row>
    <row r="487" spans="1:14" x14ac:dyDescent="0.25">
      <c r="A487" s="1" t="s">
        <v>496</v>
      </c>
      <c r="B487" s="1" t="s">
        <v>1085</v>
      </c>
      <c r="C487" s="1" t="s">
        <v>7</v>
      </c>
      <c r="D487">
        <v>790175</v>
      </c>
      <c r="E487">
        <v>6897</v>
      </c>
      <c r="F487">
        <v>86919</v>
      </c>
      <c r="G487">
        <v>15</v>
      </c>
      <c r="H487" s="4">
        <v>108.6</v>
      </c>
      <c r="I487" s="2">
        <v>0.8</v>
      </c>
      <c r="J487">
        <v>0</v>
      </c>
      <c r="K487">
        <v>0</v>
      </c>
      <c r="L487">
        <v>65</v>
      </c>
      <c r="M487" s="1" t="s">
        <v>1016</v>
      </c>
      <c r="N487" s="1" t="s">
        <v>1019</v>
      </c>
    </row>
    <row r="488" spans="1:14" x14ac:dyDescent="0.25">
      <c r="A488" s="1" t="s">
        <v>497</v>
      </c>
      <c r="B488" s="1" t="s">
        <v>1098</v>
      </c>
      <c r="C488" s="1" t="s">
        <v>37</v>
      </c>
      <c r="D488">
        <v>566067</v>
      </c>
      <c r="E488">
        <v>39673</v>
      </c>
      <c r="F488">
        <v>62267</v>
      </c>
      <c r="G488">
        <v>15</v>
      </c>
      <c r="H488" s="4">
        <v>105.20000000000002</v>
      </c>
      <c r="I488" s="2">
        <v>0.8</v>
      </c>
      <c r="J488">
        <v>11</v>
      </c>
      <c r="K488">
        <v>1</v>
      </c>
      <c r="L488">
        <v>85</v>
      </c>
      <c r="M488" s="1" t="s">
        <v>1016</v>
      </c>
      <c r="N488" s="1" t="s">
        <v>1020</v>
      </c>
    </row>
    <row r="489" spans="1:14" x14ac:dyDescent="0.25">
      <c r="A489" s="1" t="s">
        <v>498</v>
      </c>
      <c r="B489" s="1" t="s">
        <v>1154</v>
      </c>
      <c r="C489" s="1" t="s">
        <v>12</v>
      </c>
      <c r="D489">
        <v>348752</v>
      </c>
      <c r="E489">
        <v>63570</v>
      </c>
      <c r="F489">
        <v>38363</v>
      </c>
      <c r="G489">
        <v>15</v>
      </c>
      <c r="H489" s="4">
        <v>106.59999999999998</v>
      </c>
      <c r="I489" s="2">
        <v>0.86666666666666703</v>
      </c>
      <c r="J489">
        <v>0</v>
      </c>
      <c r="K489">
        <v>0</v>
      </c>
      <c r="L489">
        <v>56</v>
      </c>
      <c r="M489" s="1" t="s">
        <v>1014</v>
      </c>
      <c r="N489" s="1" t="s">
        <v>1019</v>
      </c>
    </row>
    <row r="490" spans="1:14" x14ac:dyDescent="0.25">
      <c r="A490" s="1" t="s">
        <v>499</v>
      </c>
      <c r="B490" s="1" t="s">
        <v>1264</v>
      </c>
      <c r="C490" s="1" t="s">
        <v>37</v>
      </c>
      <c r="D490">
        <v>394296</v>
      </c>
      <c r="E490">
        <v>57449</v>
      </c>
      <c r="F490">
        <v>43373</v>
      </c>
      <c r="G490">
        <v>15</v>
      </c>
      <c r="H490" s="4">
        <v>95.3</v>
      </c>
      <c r="I490" s="2">
        <v>0.73333333333333295</v>
      </c>
      <c r="J490">
        <v>0</v>
      </c>
      <c r="K490">
        <v>0</v>
      </c>
      <c r="L490">
        <v>96</v>
      </c>
      <c r="M490" s="1" t="s">
        <v>1018</v>
      </c>
      <c r="N490" s="1" t="s">
        <v>1015</v>
      </c>
    </row>
    <row r="491" spans="1:14" x14ac:dyDescent="0.25">
      <c r="A491" s="1" t="s">
        <v>500</v>
      </c>
      <c r="B491" s="1" t="s">
        <v>1212</v>
      </c>
      <c r="C491" s="1" t="s">
        <v>37</v>
      </c>
      <c r="D491">
        <v>590728</v>
      </c>
      <c r="E491">
        <v>57074</v>
      </c>
      <c r="G491">
        <v>14</v>
      </c>
      <c r="H491" s="4">
        <v>72.400000000000006</v>
      </c>
      <c r="I491" s="2">
        <v>0.5</v>
      </c>
      <c r="J491">
        <v>0</v>
      </c>
      <c r="K491">
        <v>0</v>
      </c>
      <c r="L491">
        <v>96</v>
      </c>
      <c r="M491" s="1" t="s">
        <v>1413</v>
      </c>
      <c r="N491" s="1" t="s">
        <v>1015</v>
      </c>
    </row>
    <row r="492" spans="1:14" x14ac:dyDescent="0.25">
      <c r="A492" s="1" t="s">
        <v>501</v>
      </c>
      <c r="B492" s="1" t="s">
        <v>1292</v>
      </c>
      <c r="C492" s="1" t="s">
        <v>12</v>
      </c>
      <c r="D492">
        <v>755487</v>
      </c>
      <c r="E492">
        <v>36375</v>
      </c>
      <c r="F492">
        <v>83104</v>
      </c>
      <c r="G492">
        <v>15</v>
      </c>
      <c r="H492" s="4">
        <v>89.6</v>
      </c>
      <c r="I492" s="2">
        <v>0.53333333333333299</v>
      </c>
      <c r="J492">
        <v>0</v>
      </c>
      <c r="K492">
        <v>0</v>
      </c>
      <c r="L492">
        <v>90</v>
      </c>
      <c r="M492" s="1" t="s">
        <v>1014</v>
      </c>
      <c r="N492" s="1" t="s">
        <v>1015</v>
      </c>
    </row>
    <row r="493" spans="1:14" x14ac:dyDescent="0.25">
      <c r="A493" s="1" t="s">
        <v>502</v>
      </c>
      <c r="B493" s="1" t="s">
        <v>1321</v>
      </c>
      <c r="C493" s="1" t="s">
        <v>52</v>
      </c>
      <c r="D493">
        <v>769913</v>
      </c>
      <c r="E493">
        <v>45838</v>
      </c>
      <c r="F493">
        <v>84690</v>
      </c>
      <c r="G493">
        <v>15</v>
      </c>
      <c r="H493" s="4">
        <v>99.3</v>
      </c>
      <c r="I493" s="2">
        <v>0.86666666666666703</v>
      </c>
      <c r="J493">
        <v>0</v>
      </c>
      <c r="K493">
        <v>0</v>
      </c>
      <c r="L493">
        <v>71</v>
      </c>
      <c r="M493" s="1" t="s">
        <v>1413</v>
      </c>
      <c r="N493" s="1" t="s">
        <v>1017</v>
      </c>
    </row>
    <row r="494" spans="1:14" x14ac:dyDescent="0.25">
      <c r="A494" s="1" t="s">
        <v>503</v>
      </c>
      <c r="B494" s="1" t="s">
        <v>1161</v>
      </c>
      <c r="C494" s="1" t="s">
        <v>23</v>
      </c>
      <c r="D494">
        <v>697651</v>
      </c>
      <c r="E494">
        <v>55703</v>
      </c>
      <c r="F494">
        <v>76742</v>
      </c>
      <c r="G494">
        <v>15</v>
      </c>
      <c r="H494" s="4">
        <v>87.000000000000014</v>
      </c>
      <c r="I494" s="2">
        <v>0.46666666666666701</v>
      </c>
      <c r="J494">
        <v>13</v>
      </c>
      <c r="K494">
        <v>1</v>
      </c>
      <c r="L494">
        <v>67</v>
      </c>
      <c r="M494" s="1" t="s">
        <v>1018</v>
      </c>
      <c r="N494" s="1" t="s">
        <v>1019</v>
      </c>
    </row>
    <row r="495" spans="1:14" x14ac:dyDescent="0.25">
      <c r="A495" s="1" t="s">
        <v>504</v>
      </c>
      <c r="B495" s="1" t="s">
        <v>1034</v>
      </c>
      <c r="C495" s="1" t="s">
        <v>37</v>
      </c>
      <c r="D495">
        <v>500475</v>
      </c>
      <c r="E495">
        <v>5278</v>
      </c>
      <c r="F495">
        <v>55052</v>
      </c>
      <c r="G495">
        <v>14</v>
      </c>
      <c r="H495" s="4">
        <v>97</v>
      </c>
      <c r="I495" s="2">
        <v>0.64285714285714302</v>
      </c>
      <c r="J495">
        <v>0</v>
      </c>
      <c r="K495">
        <v>0</v>
      </c>
      <c r="L495">
        <v>94</v>
      </c>
      <c r="M495" s="1" t="s">
        <v>1018</v>
      </c>
      <c r="N495" s="1" t="s">
        <v>1015</v>
      </c>
    </row>
    <row r="496" spans="1:14" x14ac:dyDescent="0.25">
      <c r="A496" s="1" t="s">
        <v>505</v>
      </c>
      <c r="B496" s="1" t="s">
        <v>1322</v>
      </c>
      <c r="C496" s="1" t="s">
        <v>3</v>
      </c>
      <c r="D496">
        <v>621493</v>
      </c>
      <c r="E496">
        <v>72794</v>
      </c>
      <c r="G496">
        <v>15</v>
      </c>
      <c r="H496" s="4">
        <v>98.1</v>
      </c>
      <c r="I496" s="2">
        <v>0.73333333333333295</v>
      </c>
      <c r="J496">
        <v>0</v>
      </c>
      <c r="K496">
        <v>0</v>
      </c>
      <c r="L496">
        <v>74</v>
      </c>
      <c r="M496" s="1" t="s">
        <v>1014</v>
      </c>
      <c r="N496" s="1" t="s">
        <v>1017</v>
      </c>
    </row>
    <row r="497" spans="1:14" x14ac:dyDescent="0.25">
      <c r="A497" s="1" t="s">
        <v>506</v>
      </c>
      <c r="B497" s="1" t="s">
        <v>1323</v>
      </c>
      <c r="C497" s="1" t="s">
        <v>1037</v>
      </c>
      <c r="D497">
        <v>840418</v>
      </c>
      <c r="E497">
        <v>9939</v>
      </c>
      <c r="F497">
        <v>92446</v>
      </c>
      <c r="G497">
        <v>15</v>
      </c>
      <c r="H497" s="4">
        <v>95</v>
      </c>
      <c r="I497" s="2">
        <v>0.73333333333333295</v>
      </c>
      <c r="J497">
        <v>0</v>
      </c>
      <c r="K497">
        <v>0</v>
      </c>
      <c r="L497">
        <v>72</v>
      </c>
      <c r="M497" s="1" t="s">
        <v>1014</v>
      </c>
      <c r="N497" s="1" t="s">
        <v>1017</v>
      </c>
    </row>
    <row r="498" spans="1:14" x14ac:dyDescent="0.25">
      <c r="A498" s="1" t="s">
        <v>507</v>
      </c>
      <c r="B498" s="1" t="s">
        <v>1215</v>
      </c>
      <c r="C498" s="1" t="s">
        <v>3</v>
      </c>
      <c r="D498">
        <v>351353</v>
      </c>
      <c r="E498">
        <v>63155</v>
      </c>
      <c r="F498">
        <v>38649</v>
      </c>
      <c r="G498">
        <v>14</v>
      </c>
      <c r="H498" s="4">
        <v>82.500000000000014</v>
      </c>
      <c r="I498" s="2">
        <v>0.57142857142857095</v>
      </c>
      <c r="J498">
        <v>11</v>
      </c>
      <c r="K498">
        <v>1</v>
      </c>
      <c r="L498">
        <v>67</v>
      </c>
      <c r="M498" s="1" t="s">
        <v>1018</v>
      </c>
      <c r="N498" s="1" t="s">
        <v>1019</v>
      </c>
    </row>
    <row r="499" spans="1:14" x14ac:dyDescent="0.25">
      <c r="A499" s="1" t="s">
        <v>508</v>
      </c>
      <c r="B499" s="1" t="s">
        <v>1324</v>
      </c>
      <c r="C499" s="1" t="s">
        <v>23</v>
      </c>
      <c r="D499">
        <v>326974</v>
      </c>
      <c r="E499">
        <v>13254</v>
      </c>
      <c r="F499">
        <v>35967</v>
      </c>
      <c r="G499">
        <v>15</v>
      </c>
      <c r="H499" s="4">
        <v>110</v>
      </c>
      <c r="I499" s="2">
        <v>0.86666666666666703</v>
      </c>
      <c r="J499">
        <v>7</v>
      </c>
      <c r="K499">
        <v>1</v>
      </c>
      <c r="L499">
        <v>64</v>
      </c>
      <c r="M499" s="1" t="s">
        <v>1018</v>
      </c>
      <c r="N499" s="1" t="s">
        <v>1019</v>
      </c>
    </row>
    <row r="500" spans="1:14" x14ac:dyDescent="0.25">
      <c r="A500" s="1" t="s">
        <v>509</v>
      </c>
      <c r="B500" s="1" t="s">
        <v>1284</v>
      </c>
      <c r="C500" s="1" t="s">
        <v>27</v>
      </c>
      <c r="D500">
        <v>482619</v>
      </c>
      <c r="E500">
        <v>7741</v>
      </c>
      <c r="F500">
        <v>53088</v>
      </c>
      <c r="G500">
        <v>15</v>
      </c>
      <c r="H500" s="4">
        <v>88.199999999999989</v>
      </c>
      <c r="I500" s="2">
        <v>0.66666666666666696</v>
      </c>
      <c r="J500">
        <v>0</v>
      </c>
      <c r="K500">
        <v>0</v>
      </c>
      <c r="L500">
        <v>84</v>
      </c>
      <c r="M500" s="1" t="s">
        <v>1016</v>
      </c>
      <c r="N500" s="1" t="s">
        <v>1020</v>
      </c>
    </row>
    <row r="501" spans="1:14" x14ac:dyDescent="0.25">
      <c r="A501" s="1" t="s">
        <v>510</v>
      </c>
      <c r="B501" s="1" t="s">
        <v>1181</v>
      </c>
      <c r="C501" s="1" t="s">
        <v>3</v>
      </c>
      <c r="D501">
        <v>825170</v>
      </c>
      <c r="E501">
        <v>11778</v>
      </c>
      <c r="F501">
        <v>90769</v>
      </c>
      <c r="G501">
        <v>15</v>
      </c>
      <c r="H501" s="4">
        <v>115.80000000000001</v>
      </c>
      <c r="I501" s="2">
        <v>0.86666666666666703</v>
      </c>
      <c r="J501">
        <v>8</v>
      </c>
      <c r="K501">
        <v>1</v>
      </c>
      <c r="L501">
        <v>96</v>
      </c>
      <c r="M501" s="1" t="s">
        <v>1018</v>
      </c>
      <c r="N501" s="1" t="s">
        <v>1015</v>
      </c>
    </row>
    <row r="502" spans="1:14" x14ac:dyDescent="0.25">
      <c r="A502" s="1" t="s">
        <v>511</v>
      </c>
      <c r="B502" s="1" t="s">
        <v>1202</v>
      </c>
      <c r="C502" s="1" t="s">
        <v>1037</v>
      </c>
      <c r="D502">
        <v>510918</v>
      </c>
      <c r="E502">
        <v>47223</v>
      </c>
      <c r="F502">
        <v>56201</v>
      </c>
      <c r="G502">
        <v>15</v>
      </c>
      <c r="H502" s="4">
        <v>104.60000000000002</v>
      </c>
      <c r="I502" s="2">
        <v>0.73333333333333295</v>
      </c>
      <c r="J502">
        <v>17</v>
      </c>
      <c r="K502">
        <v>2</v>
      </c>
      <c r="L502">
        <v>97</v>
      </c>
      <c r="M502" s="1" t="s">
        <v>1021</v>
      </c>
      <c r="N502" s="1" t="s">
        <v>1015</v>
      </c>
    </row>
    <row r="503" spans="1:14" x14ac:dyDescent="0.25">
      <c r="A503" s="1" t="s">
        <v>512</v>
      </c>
      <c r="B503" s="1" t="s">
        <v>1325</v>
      </c>
      <c r="C503" s="1" t="s">
        <v>52</v>
      </c>
      <c r="D503">
        <v>225895</v>
      </c>
      <c r="E503">
        <v>3930</v>
      </c>
      <c r="G503">
        <v>15</v>
      </c>
      <c r="H503" s="4">
        <v>113.4</v>
      </c>
      <c r="I503" s="2">
        <v>0.8</v>
      </c>
      <c r="J503">
        <v>0</v>
      </c>
      <c r="K503">
        <v>0</v>
      </c>
      <c r="L503">
        <v>73</v>
      </c>
      <c r="M503" s="1" t="s">
        <v>1021</v>
      </c>
      <c r="N503" s="1" t="s">
        <v>1017</v>
      </c>
    </row>
    <row r="504" spans="1:14" x14ac:dyDescent="0.25">
      <c r="A504" s="1" t="s">
        <v>513</v>
      </c>
      <c r="B504" s="1" t="s">
        <v>1264</v>
      </c>
      <c r="C504" s="1" t="s">
        <v>5</v>
      </c>
      <c r="D504">
        <v>814410</v>
      </c>
      <c r="E504">
        <v>57177</v>
      </c>
      <c r="F504">
        <v>89585</v>
      </c>
      <c r="G504">
        <v>15</v>
      </c>
      <c r="H504" s="4">
        <v>103.6</v>
      </c>
      <c r="I504" s="2">
        <v>0.66666666666666696</v>
      </c>
      <c r="J504">
        <v>13</v>
      </c>
      <c r="K504">
        <v>2</v>
      </c>
      <c r="L504">
        <v>60</v>
      </c>
      <c r="M504" s="1" t="s">
        <v>1014</v>
      </c>
      <c r="N504" s="1" t="s">
        <v>1019</v>
      </c>
    </row>
    <row r="505" spans="1:14" x14ac:dyDescent="0.25">
      <c r="A505" s="1" t="s">
        <v>514</v>
      </c>
      <c r="B505" s="1" t="s">
        <v>1112</v>
      </c>
      <c r="C505" s="1" t="s">
        <v>52</v>
      </c>
      <c r="D505">
        <v>543722</v>
      </c>
      <c r="E505">
        <v>19350</v>
      </c>
      <c r="F505">
        <v>59809</v>
      </c>
      <c r="G505">
        <v>15</v>
      </c>
      <c r="H505" s="4">
        <v>107.89999999999999</v>
      </c>
      <c r="I505" s="2">
        <v>0.73333333333333295</v>
      </c>
      <c r="J505">
        <v>0</v>
      </c>
      <c r="K505">
        <v>0</v>
      </c>
      <c r="L505">
        <v>88</v>
      </c>
      <c r="M505" s="1" t="s">
        <v>1413</v>
      </c>
      <c r="N505" s="1" t="s">
        <v>1020</v>
      </c>
    </row>
    <row r="506" spans="1:14" x14ac:dyDescent="0.25">
      <c r="A506" s="1" t="s">
        <v>515</v>
      </c>
      <c r="B506" s="1" t="s">
        <v>1326</v>
      </c>
      <c r="C506" s="1" t="s">
        <v>9</v>
      </c>
      <c r="D506">
        <v>607227</v>
      </c>
      <c r="E506">
        <v>12470</v>
      </c>
      <c r="G506">
        <v>15</v>
      </c>
      <c r="H506" s="4">
        <v>109.8</v>
      </c>
      <c r="I506" s="2">
        <v>0.86666666666666703</v>
      </c>
      <c r="J506">
        <v>8</v>
      </c>
      <c r="K506">
        <v>1</v>
      </c>
      <c r="L506">
        <v>76</v>
      </c>
      <c r="M506" s="1" t="s">
        <v>1016</v>
      </c>
      <c r="N506" s="1" t="s">
        <v>1017</v>
      </c>
    </row>
    <row r="507" spans="1:14" x14ac:dyDescent="0.25">
      <c r="A507" s="1" t="s">
        <v>516</v>
      </c>
      <c r="B507" s="1" t="s">
        <v>1327</v>
      </c>
      <c r="C507" s="1" t="s">
        <v>27</v>
      </c>
      <c r="D507">
        <v>485887</v>
      </c>
      <c r="E507">
        <v>48465</v>
      </c>
      <c r="F507">
        <v>53448</v>
      </c>
      <c r="G507">
        <v>15</v>
      </c>
      <c r="H507" s="4">
        <v>97.600000000000009</v>
      </c>
      <c r="I507" s="2">
        <v>0.73333333333333295</v>
      </c>
      <c r="J507">
        <v>0</v>
      </c>
      <c r="K507">
        <v>0</v>
      </c>
      <c r="L507">
        <v>87</v>
      </c>
      <c r="M507" s="1" t="s">
        <v>1016</v>
      </c>
      <c r="N507" s="1" t="s">
        <v>1020</v>
      </c>
    </row>
    <row r="508" spans="1:14" x14ac:dyDescent="0.25">
      <c r="A508" s="1" t="s">
        <v>517</v>
      </c>
      <c r="B508" s="1" t="s">
        <v>1255</v>
      </c>
      <c r="C508" s="1" t="s">
        <v>23</v>
      </c>
      <c r="D508">
        <v>305938</v>
      </c>
      <c r="E508">
        <v>60159</v>
      </c>
      <c r="F508">
        <v>33653</v>
      </c>
      <c r="G508">
        <v>15</v>
      </c>
      <c r="H508" s="4">
        <v>120.49999999999999</v>
      </c>
      <c r="I508" s="2">
        <v>0.86666666666666703</v>
      </c>
      <c r="J508">
        <v>0</v>
      </c>
      <c r="K508">
        <v>0</v>
      </c>
      <c r="L508">
        <v>69</v>
      </c>
      <c r="M508" s="1" t="s">
        <v>1021</v>
      </c>
      <c r="N508" s="1" t="s">
        <v>1019</v>
      </c>
    </row>
    <row r="509" spans="1:14" x14ac:dyDescent="0.25">
      <c r="A509" s="1" t="s">
        <v>518</v>
      </c>
      <c r="B509" s="1" t="s">
        <v>1309</v>
      </c>
      <c r="C509" s="1" t="s">
        <v>3</v>
      </c>
      <c r="D509">
        <v>608412</v>
      </c>
      <c r="E509">
        <v>46465</v>
      </c>
      <c r="F509">
        <v>66925</v>
      </c>
      <c r="G509">
        <v>15</v>
      </c>
      <c r="H509" s="4">
        <v>113.89999999999999</v>
      </c>
      <c r="I509" s="2">
        <v>0.86666666666666703</v>
      </c>
      <c r="J509">
        <v>0</v>
      </c>
      <c r="K509">
        <v>0</v>
      </c>
      <c r="L509">
        <v>68</v>
      </c>
      <c r="M509" s="1" t="s">
        <v>1018</v>
      </c>
      <c r="N509" s="1" t="s">
        <v>1019</v>
      </c>
    </row>
    <row r="510" spans="1:14" x14ac:dyDescent="0.25">
      <c r="A510" s="1" t="s">
        <v>519</v>
      </c>
      <c r="B510" s="1" t="s">
        <v>1244</v>
      </c>
      <c r="C510" s="1" t="s">
        <v>52</v>
      </c>
      <c r="D510">
        <v>420537</v>
      </c>
      <c r="E510">
        <v>81444</v>
      </c>
      <c r="F510">
        <v>46259</v>
      </c>
      <c r="G510">
        <v>15</v>
      </c>
      <c r="H510" s="4">
        <v>119.4</v>
      </c>
      <c r="I510" s="2">
        <v>0.8</v>
      </c>
      <c r="J510">
        <v>0</v>
      </c>
      <c r="K510">
        <v>0</v>
      </c>
      <c r="L510">
        <v>72</v>
      </c>
      <c r="M510" s="1" t="s">
        <v>1021</v>
      </c>
      <c r="N510" s="1" t="s">
        <v>1017</v>
      </c>
    </row>
    <row r="511" spans="1:14" x14ac:dyDescent="0.25">
      <c r="A511" s="1" t="s">
        <v>520</v>
      </c>
      <c r="B511" s="1" t="s">
        <v>1328</v>
      </c>
      <c r="C511" s="1" t="s">
        <v>5</v>
      </c>
      <c r="D511">
        <v>364824</v>
      </c>
      <c r="E511">
        <v>72546</v>
      </c>
      <c r="F511">
        <v>40131</v>
      </c>
      <c r="G511">
        <v>15</v>
      </c>
      <c r="H511" s="4">
        <v>96.800000000000011</v>
      </c>
      <c r="I511" s="2">
        <v>0.66666666666666696</v>
      </c>
      <c r="J511">
        <v>0</v>
      </c>
      <c r="K511">
        <v>0</v>
      </c>
      <c r="L511">
        <v>63</v>
      </c>
      <c r="M511" s="1" t="s">
        <v>1413</v>
      </c>
      <c r="N511" s="1" t="s">
        <v>1019</v>
      </c>
    </row>
    <row r="512" spans="1:14" x14ac:dyDescent="0.25">
      <c r="A512" s="1" t="s">
        <v>521</v>
      </c>
      <c r="B512" s="1" t="s">
        <v>1317</v>
      </c>
      <c r="C512" s="1" t="s">
        <v>7</v>
      </c>
      <c r="D512">
        <v>808406</v>
      </c>
      <c r="E512">
        <v>82985</v>
      </c>
      <c r="F512">
        <v>88925</v>
      </c>
      <c r="G512">
        <v>15</v>
      </c>
      <c r="H512" s="4">
        <v>88</v>
      </c>
      <c r="I512" s="2">
        <v>0.66666666666666696</v>
      </c>
      <c r="J512">
        <v>2</v>
      </c>
      <c r="K512">
        <v>1</v>
      </c>
      <c r="L512">
        <v>89</v>
      </c>
      <c r="M512" s="1" t="s">
        <v>1021</v>
      </c>
      <c r="N512" s="1" t="s">
        <v>1020</v>
      </c>
    </row>
    <row r="513" spans="1:14" x14ac:dyDescent="0.25">
      <c r="A513" s="1" t="s">
        <v>522</v>
      </c>
      <c r="B513" s="1" t="s">
        <v>1329</v>
      </c>
      <c r="C513" s="1" t="s">
        <v>7</v>
      </c>
      <c r="D513">
        <v>798442</v>
      </c>
      <c r="E513">
        <v>25649</v>
      </c>
      <c r="F513">
        <v>87829</v>
      </c>
      <c r="G513">
        <v>14</v>
      </c>
      <c r="H513" s="4">
        <v>63.599999999999994</v>
      </c>
      <c r="I513" s="2">
        <v>0.42857142857142899</v>
      </c>
      <c r="J513">
        <v>0</v>
      </c>
      <c r="K513">
        <v>0</v>
      </c>
      <c r="L513">
        <v>69</v>
      </c>
      <c r="M513" s="1" t="s">
        <v>1014</v>
      </c>
      <c r="N513" s="1" t="s">
        <v>1019</v>
      </c>
    </row>
    <row r="514" spans="1:14" x14ac:dyDescent="0.25">
      <c r="A514" s="1" t="s">
        <v>523</v>
      </c>
      <c r="B514" s="1" t="s">
        <v>1198</v>
      </c>
      <c r="C514" s="1" t="s">
        <v>3</v>
      </c>
      <c r="D514">
        <v>448860</v>
      </c>
      <c r="E514">
        <v>78300</v>
      </c>
      <c r="F514">
        <v>49375</v>
      </c>
      <c r="G514">
        <v>14</v>
      </c>
      <c r="H514" s="4">
        <v>80.400000000000006</v>
      </c>
      <c r="I514" s="2">
        <v>0.64285714285714302</v>
      </c>
      <c r="J514">
        <v>2</v>
      </c>
      <c r="K514">
        <v>1</v>
      </c>
      <c r="L514">
        <v>70</v>
      </c>
      <c r="M514" s="1" t="s">
        <v>1021</v>
      </c>
      <c r="N514" s="1" t="s">
        <v>1017</v>
      </c>
    </row>
    <row r="515" spans="1:14" x14ac:dyDescent="0.25">
      <c r="A515" s="1" t="s">
        <v>524</v>
      </c>
      <c r="B515" s="1" t="s">
        <v>1100</v>
      </c>
      <c r="C515" s="1" t="s">
        <v>52</v>
      </c>
      <c r="D515">
        <v>760542</v>
      </c>
      <c r="E515">
        <v>52099</v>
      </c>
      <c r="F515">
        <v>83660</v>
      </c>
      <c r="G515">
        <v>14</v>
      </c>
      <c r="H515" s="4">
        <v>105.1</v>
      </c>
      <c r="I515" s="2">
        <v>0.85714285714285698</v>
      </c>
      <c r="J515">
        <v>0</v>
      </c>
      <c r="K515">
        <v>0</v>
      </c>
      <c r="L515">
        <v>89</v>
      </c>
      <c r="M515" s="1" t="s">
        <v>1018</v>
      </c>
      <c r="N515" s="1" t="s">
        <v>1020</v>
      </c>
    </row>
    <row r="516" spans="1:14" x14ac:dyDescent="0.25">
      <c r="A516" s="1" t="s">
        <v>525</v>
      </c>
      <c r="B516" s="1" t="s">
        <v>1140</v>
      </c>
      <c r="C516" s="1" t="s">
        <v>52</v>
      </c>
      <c r="D516">
        <v>423413</v>
      </c>
      <c r="E516">
        <v>83900</v>
      </c>
      <c r="F516">
        <v>46575</v>
      </c>
      <c r="G516">
        <v>15</v>
      </c>
      <c r="H516" s="4">
        <v>103.3</v>
      </c>
      <c r="I516" s="2">
        <v>0.8</v>
      </c>
      <c r="J516">
        <v>0</v>
      </c>
      <c r="K516">
        <v>0</v>
      </c>
      <c r="L516">
        <v>100</v>
      </c>
      <c r="M516" s="1" t="s">
        <v>1413</v>
      </c>
      <c r="N516" s="1" t="s">
        <v>1015</v>
      </c>
    </row>
    <row r="517" spans="1:14" x14ac:dyDescent="0.25">
      <c r="A517" s="1" t="s">
        <v>526</v>
      </c>
      <c r="B517" s="1" t="s">
        <v>1330</v>
      </c>
      <c r="C517" s="1" t="s">
        <v>1037</v>
      </c>
      <c r="D517">
        <v>245635</v>
      </c>
      <c r="E517">
        <v>32114</v>
      </c>
      <c r="F517">
        <v>27020</v>
      </c>
      <c r="G517">
        <v>15</v>
      </c>
      <c r="H517" s="4">
        <v>124.20000000000002</v>
      </c>
      <c r="I517" s="2">
        <v>0.73333333333333295</v>
      </c>
      <c r="J517">
        <v>2</v>
      </c>
      <c r="K517">
        <v>1</v>
      </c>
      <c r="L517">
        <v>76</v>
      </c>
      <c r="M517" s="1" t="s">
        <v>1014</v>
      </c>
      <c r="N517" s="1" t="s">
        <v>1017</v>
      </c>
    </row>
    <row r="518" spans="1:14" x14ac:dyDescent="0.25">
      <c r="A518" s="1" t="s">
        <v>527</v>
      </c>
      <c r="B518" s="1" t="s">
        <v>1044</v>
      </c>
      <c r="C518" s="1" t="s">
        <v>3</v>
      </c>
      <c r="D518">
        <v>538242</v>
      </c>
      <c r="E518">
        <v>61375</v>
      </c>
      <c r="F518">
        <v>59207</v>
      </c>
      <c r="G518">
        <v>15</v>
      </c>
      <c r="H518" s="4">
        <v>104.60000000000002</v>
      </c>
      <c r="I518" s="2">
        <v>0.6</v>
      </c>
      <c r="J518">
        <v>0</v>
      </c>
      <c r="K518">
        <v>0</v>
      </c>
      <c r="L518">
        <v>66</v>
      </c>
      <c r="M518" s="1" t="s">
        <v>1413</v>
      </c>
      <c r="N518" s="1" t="s">
        <v>1019</v>
      </c>
    </row>
    <row r="519" spans="1:14" x14ac:dyDescent="0.25">
      <c r="A519" s="1" t="s">
        <v>528</v>
      </c>
      <c r="B519" s="1" t="s">
        <v>1264</v>
      </c>
      <c r="C519" s="1" t="s">
        <v>1037</v>
      </c>
      <c r="D519">
        <v>698263</v>
      </c>
      <c r="E519">
        <v>85618</v>
      </c>
      <c r="F519">
        <v>76809</v>
      </c>
      <c r="G519">
        <v>15</v>
      </c>
      <c r="H519" s="4">
        <v>96.2</v>
      </c>
      <c r="I519" s="2">
        <v>0.66666666666666696</v>
      </c>
      <c r="J519">
        <v>21</v>
      </c>
      <c r="K519">
        <v>2</v>
      </c>
      <c r="L519">
        <v>87</v>
      </c>
      <c r="M519" s="1" t="s">
        <v>1413</v>
      </c>
      <c r="N519" s="1" t="s">
        <v>1020</v>
      </c>
    </row>
    <row r="520" spans="1:14" x14ac:dyDescent="0.25">
      <c r="A520" s="1" t="s">
        <v>529</v>
      </c>
      <c r="B520" s="1" t="s">
        <v>1295</v>
      </c>
      <c r="C520" s="1" t="s">
        <v>23</v>
      </c>
      <c r="D520">
        <v>628588</v>
      </c>
      <c r="E520">
        <v>21270</v>
      </c>
      <c r="F520">
        <v>69145</v>
      </c>
      <c r="G520">
        <v>15</v>
      </c>
      <c r="H520" s="4">
        <v>92.999999999999986</v>
      </c>
      <c r="I520" s="2">
        <v>0.66666666666666696</v>
      </c>
      <c r="J520">
        <v>0</v>
      </c>
      <c r="K520">
        <v>0</v>
      </c>
      <c r="L520">
        <v>99</v>
      </c>
      <c r="M520" s="1" t="s">
        <v>1413</v>
      </c>
      <c r="N520" s="1" t="s">
        <v>1015</v>
      </c>
    </row>
    <row r="521" spans="1:14" x14ac:dyDescent="0.25">
      <c r="A521" s="1" t="s">
        <v>530</v>
      </c>
      <c r="B521" s="1" t="s">
        <v>1331</v>
      </c>
      <c r="C521" s="1" t="s">
        <v>3</v>
      </c>
      <c r="D521">
        <v>560168</v>
      </c>
      <c r="E521">
        <v>70791</v>
      </c>
      <c r="F521">
        <v>61618</v>
      </c>
      <c r="G521">
        <v>15</v>
      </c>
      <c r="H521" s="4">
        <v>95.899999999999991</v>
      </c>
      <c r="I521" s="2">
        <v>0.66666666666666696</v>
      </c>
      <c r="J521">
        <v>23</v>
      </c>
      <c r="K521">
        <v>2</v>
      </c>
      <c r="L521">
        <v>66</v>
      </c>
      <c r="M521" s="1" t="s">
        <v>1014</v>
      </c>
      <c r="N521" s="1" t="s">
        <v>1019</v>
      </c>
    </row>
    <row r="522" spans="1:14" x14ac:dyDescent="0.25">
      <c r="A522" s="1" t="s">
        <v>531</v>
      </c>
      <c r="B522" s="1" t="s">
        <v>1332</v>
      </c>
      <c r="C522" s="1" t="s">
        <v>27</v>
      </c>
      <c r="D522">
        <v>312084</v>
      </c>
      <c r="E522">
        <v>56483</v>
      </c>
      <c r="F522">
        <v>34329</v>
      </c>
      <c r="G522">
        <v>15</v>
      </c>
      <c r="H522" s="4">
        <v>80.899999999999991</v>
      </c>
      <c r="I522" s="2">
        <v>0.46666666666666701</v>
      </c>
      <c r="J522">
        <v>0</v>
      </c>
      <c r="K522">
        <v>0</v>
      </c>
      <c r="L522">
        <v>87</v>
      </c>
      <c r="M522" s="1" t="s">
        <v>1016</v>
      </c>
      <c r="N522" s="1" t="s">
        <v>1020</v>
      </c>
    </row>
    <row r="523" spans="1:14" x14ac:dyDescent="0.25">
      <c r="A523" s="1" t="s">
        <v>532</v>
      </c>
      <c r="B523" s="1" t="s">
        <v>1222</v>
      </c>
      <c r="C523" s="1" t="s">
        <v>52</v>
      </c>
      <c r="D523">
        <v>710254</v>
      </c>
      <c r="E523">
        <v>61092</v>
      </c>
      <c r="F523">
        <v>78128</v>
      </c>
      <c r="G523">
        <v>15</v>
      </c>
      <c r="H523" s="4">
        <v>115.30000000000003</v>
      </c>
      <c r="I523" s="2">
        <v>0.86666666666666703</v>
      </c>
      <c r="J523">
        <v>0</v>
      </c>
      <c r="K523">
        <v>0</v>
      </c>
      <c r="L523">
        <v>95</v>
      </c>
      <c r="M523" s="1" t="s">
        <v>1413</v>
      </c>
      <c r="N523" s="1" t="s">
        <v>1015</v>
      </c>
    </row>
    <row r="524" spans="1:14" x14ac:dyDescent="0.25">
      <c r="A524" s="1" t="s">
        <v>533</v>
      </c>
      <c r="B524" s="1" t="s">
        <v>1333</v>
      </c>
      <c r="C524" s="1" t="s">
        <v>7</v>
      </c>
      <c r="D524">
        <v>785530</v>
      </c>
      <c r="E524">
        <v>82809</v>
      </c>
      <c r="F524">
        <v>86408</v>
      </c>
      <c r="G524">
        <v>15</v>
      </c>
      <c r="H524" s="4">
        <v>96.5</v>
      </c>
      <c r="I524" s="2">
        <v>0.66666666666666696</v>
      </c>
      <c r="J524">
        <v>0</v>
      </c>
      <c r="K524">
        <v>0</v>
      </c>
      <c r="L524">
        <v>97</v>
      </c>
      <c r="M524" s="1" t="s">
        <v>1016</v>
      </c>
      <c r="N524" s="1" t="s">
        <v>1015</v>
      </c>
    </row>
    <row r="525" spans="1:14" x14ac:dyDescent="0.25">
      <c r="A525" s="1" t="s">
        <v>534</v>
      </c>
      <c r="B525" s="1" t="s">
        <v>1072</v>
      </c>
      <c r="C525" s="1" t="s">
        <v>5</v>
      </c>
      <c r="D525">
        <v>543398</v>
      </c>
      <c r="E525">
        <v>66940</v>
      </c>
      <c r="F525">
        <v>59774</v>
      </c>
      <c r="G525">
        <v>15</v>
      </c>
      <c r="H525" s="4">
        <v>79.800000000000011</v>
      </c>
      <c r="I525" s="2">
        <v>0.6</v>
      </c>
      <c r="J525">
        <v>0</v>
      </c>
      <c r="K525">
        <v>0</v>
      </c>
      <c r="L525">
        <v>75</v>
      </c>
      <c r="M525" s="1" t="s">
        <v>1021</v>
      </c>
      <c r="N525" s="1" t="s">
        <v>1017</v>
      </c>
    </row>
    <row r="526" spans="1:14" x14ac:dyDescent="0.25">
      <c r="A526" s="1" t="s">
        <v>535</v>
      </c>
      <c r="B526" s="1" t="s">
        <v>1334</v>
      </c>
      <c r="C526" s="1" t="s">
        <v>1037</v>
      </c>
      <c r="D526">
        <v>820473</v>
      </c>
      <c r="E526">
        <v>7043</v>
      </c>
      <c r="F526">
        <v>90252</v>
      </c>
      <c r="G526">
        <v>15</v>
      </c>
      <c r="H526" s="4">
        <v>88.000000000000014</v>
      </c>
      <c r="I526" s="2">
        <v>0.6</v>
      </c>
      <c r="J526">
        <v>11</v>
      </c>
      <c r="K526">
        <v>1</v>
      </c>
      <c r="L526">
        <v>74</v>
      </c>
      <c r="M526" s="1" t="s">
        <v>1413</v>
      </c>
      <c r="N526" s="1" t="s">
        <v>1017</v>
      </c>
    </row>
    <row r="527" spans="1:14" x14ac:dyDescent="0.25">
      <c r="A527" s="1" t="s">
        <v>536</v>
      </c>
      <c r="B527" s="1" t="s">
        <v>1291</v>
      </c>
      <c r="C527" s="1" t="s">
        <v>9</v>
      </c>
      <c r="D527">
        <v>564506</v>
      </c>
      <c r="E527">
        <v>70080</v>
      </c>
      <c r="F527">
        <v>62096</v>
      </c>
      <c r="G527">
        <v>15</v>
      </c>
      <c r="H527" s="4">
        <v>101.60000000000001</v>
      </c>
      <c r="I527" s="2">
        <v>0.8</v>
      </c>
      <c r="J527">
        <v>0</v>
      </c>
      <c r="K527">
        <v>0</v>
      </c>
      <c r="L527">
        <v>97</v>
      </c>
      <c r="M527" s="1" t="s">
        <v>1014</v>
      </c>
      <c r="N527" s="1" t="s">
        <v>1015</v>
      </c>
    </row>
    <row r="528" spans="1:14" x14ac:dyDescent="0.25">
      <c r="A528" s="1" t="s">
        <v>537</v>
      </c>
      <c r="B528" s="1" t="s">
        <v>1271</v>
      </c>
      <c r="C528" s="1" t="s">
        <v>27</v>
      </c>
      <c r="D528">
        <v>584951</v>
      </c>
      <c r="E528">
        <v>23135</v>
      </c>
      <c r="F528">
        <v>64345</v>
      </c>
      <c r="G528">
        <v>15</v>
      </c>
      <c r="H528" s="4">
        <v>103.39999999999999</v>
      </c>
      <c r="I528" s="2">
        <v>0.73333333333333295</v>
      </c>
      <c r="J528">
        <v>3</v>
      </c>
      <c r="K528">
        <v>1</v>
      </c>
      <c r="L528">
        <v>61</v>
      </c>
      <c r="M528" s="1" t="s">
        <v>1021</v>
      </c>
      <c r="N528" s="1" t="s">
        <v>1019</v>
      </c>
    </row>
    <row r="529" spans="1:14" x14ac:dyDescent="0.25">
      <c r="A529" s="1" t="s">
        <v>538</v>
      </c>
      <c r="B529" s="1" t="s">
        <v>1335</v>
      </c>
      <c r="C529" s="1" t="s">
        <v>9</v>
      </c>
      <c r="D529">
        <v>377791</v>
      </c>
      <c r="E529">
        <v>15414</v>
      </c>
      <c r="F529">
        <v>41557</v>
      </c>
      <c r="G529">
        <v>15</v>
      </c>
      <c r="H529" s="4">
        <v>109.19999999999999</v>
      </c>
      <c r="I529" s="2">
        <v>0.93333333333333302</v>
      </c>
      <c r="J529">
        <v>14</v>
      </c>
      <c r="K529">
        <v>1</v>
      </c>
      <c r="L529">
        <v>79</v>
      </c>
      <c r="M529" s="1" t="s">
        <v>1413</v>
      </c>
      <c r="N529" s="1" t="s">
        <v>1017</v>
      </c>
    </row>
    <row r="530" spans="1:14" x14ac:dyDescent="0.25">
      <c r="A530" s="1" t="s">
        <v>539</v>
      </c>
      <c r="B530" s="1" t="s">
        <v>1227</v>
      </c>
      <c r="C530" s="1" t="s">
        <v>23</v>
      </c>
      <c r="D530">
        <v>302149</v>
      </c>
      <c r="E530">
        <v>47750</v>
      </c>
      <c r="F530">
        <v>33236</v>
      </c>
      <c r="G530">
        <v>15</v>
      </c>
      <c r="H530" s="4">
        <v>101.29999999999998</v>
      </c>
      <c r="I530" s="2">
        <v>0.8</v>
      </c>
      <c r="J530">
        <v>0</v>
      </c>
      <c r="K530">
        <v>0</v>
      </c>
      <c r="L530">
        <v>61</v>
      </c>
      <c r="M530" s="1" t="s">
        <v>1021</v>
      </c>
      <c r="N530" s="1" t="s">
        <v>1019</v>
      </c>
    </row>
    <row r="531" spans="1:14" x14ac:dyDescent="0.25">
      <c r="A531" s="1" t="s">
        <v>540</v>
      </c>
      <c r="B531" s="1" t="s">
        <v>1319</v>
      </c>
      <c r="C531" s="1" t="s">
        <v>1037</v>
      </c>
      <c r="D531">
        <v>514195</v>
      </c>
      <c r="E531">
        <v>82651</v>
      </c>
      <c r="F531">
        <v>56561</v>
      </c>
      <c r="G531">
        <v>15</v>
      </c>
      <c r="H531" s="4">
        <v>120.80000000000001</v>
      </c>
      <c r="I531" s="2">
        <v>0.93333333333333302</v>
      </c>
      <c r="J531">
        <v>0</v>
      </c>
      <c r="K531">
        <v>0</v>
      </c>
      <c r="L531">
        <v>78</v>
      </c>
      <c r="M531" s="1" t="s">
        <v>1014</v>
      </c>
      <c r="N531" s="1" t="s">
        <v>1017</v>
      </c>
    </row>
    <row r="532" spans="1:14" x14ac:dyDescent="0.25">
      <c r="A532" s="1" t="s">
        <v>541</v>
      </c>
      <c r="B532" s="1" t="s">
        <v>1336</v>
      </c>
      <c r="C532" s="1" t="s">
        <v>52</v>
      </c>
      <c r="D532">
        <v>588760</v>
      </c>
      <c r="E532">
        <v>84998</v>
      </c>
      <c r="F532">
        <v>64764</v>
      </c>
      <c r="G532">
        <v>15</v>
      </c>
      <c r="H532" s="4">
        <v>121.99999999999999</v>
      </c>
      <c r="I532" s="2">
        <v>0.86666666666666703</v>
      </c>
      <c r="J532">
        <v>13</v>
      </c>
      <c r="K532">
        <v>1</v>
      </c>
      <c r="L532">
        <v>74</v>
      </c>
      <c r="M532" s="1" t="s">
        <v>1018</v>
      </c>
      <c r="N532" s="1" t="s">
        <v>1017</v>
      </c>
    </row>
    <row r="533" spans="1:14" x14ac:dyDescent="0.25">
      <c r="A533" s="1" t="s">
        <v>542</v>
      </c>
      <c r="B533" s="1" t="s">
        <v>1308</v>
      </c>
      <c r="C533" s="1" t="s">
        <v>9</v>
      </c>
      <c r="D533">
        <v>577028</v>
      </c>
      <c r="E533">
        <v>19908</v>
      </c>
      <c r="F533">
        <v>63473</v>
      </c>
      <c r="G533">
        <v>15</v>
      </c>
      <c r="H533" s="4">
        <v>85.3</v>
      </c>
      <c r="I533" s="2">
        <v>0.73333333333333295</v>
      </c>
      <c r="J533">
        <v>0</v>
      </c>
      <c r="K533">
        <v>0</v>
      </c>
      <c r="L533">
        <v>70</v>
      </c>
      <c r="M533" s="1" t="s">
        <v>1018</v>
      </c>
      <c r="N533" s="1" t="s">
        <v>1017</v>
      </c>
    </row>
    <row r="534" spans="1:14" x14ac:dyDescent="0.25">
      <c r="A534" s="1" t="s">
        <v>543</v>
      </c>
      <c r="B534" s="1" t="s">
        <v>1066</v>
      </c>
      <c r="C534" s="1" t="s">
        <v>1117</v>
      </c>
      <c r="D534">
        <v>441309</v>
      </c>
      <c r="E534">
        <v>59952</v>
      </c>
      <c r="F534">
        <v>48544</v>
      </c>
      <c r="G534">
        <v>14</v>
      </c>
      <c r="H534" s="4">
        <v>89.600000000000009</v>
      </c>
      <c r="I534" s="2">
        <v>0.64285714285714302</v>
      </c>
      <c r="J534">
        <v>0</v>
      </c>
      <c r="K534">
        <v>0</v>
      </c>
      <c r="L534">
        <v>91</v>
      </c>
      <c r="M534" s="1" t="s">
        <v>1021</v>
      </c>
      <c r="N534" s="1" t="s">
        <v>1015</v>
      </c>
    </row>
    <row r="535" spans="1:14" x14ac:dyDescent="0.25">
      <c r="A535" s="1" t="s">
        <v>544</v>
      </c>
      <c r="B535" s="1" t="s">
        <v>1280</v>
      </c>
      <c r="C535" s="1" t="s">
        <v>9</v>
      </c>
      <c r="D535">
        <v>689064</v>
      </c>
      <c r="E535">
        <v>20426</v>
      </c>
      <c r="F535">
        <v>75797</v>
      </c>
      <c r="G535">
        <v>15</v>
      </c>
      <c r="H535" s="4">
        <v>119.80000000000001</v>
      </c>
      <c r="I535" s="2">
        <v>0.93333333333333302</v>
      </c>
      <c r="J535">
        <v>5</v>
      </c>
      <c r="K535">
        <v>1</v>
      </c>
      <c r="L535">
        <v>57</v>
      </c>
      <c r="M535" s="1" t="s">
        <v>1014</v>
      </c>
      <c r="N535" s="1" t="s">
        <v>1019</v>
      </c>
    </row>
    <row r="536" spans="1:14" x14ac:dyDescent="0.25">
      <c r="A536" s="1" t="s">
        <v>545</v>
      </c>
      <c r="B536" s="1" t="s">
        <v>1078</v>
      </c>
      <c r="C536" s="1" t="s">
        <v>9</v>
      </c>
      <c r="D536">
        <v>793981</v>
      </c>
      <c r="E536">
        <v>17230</v>
      </c>
      <c r="F536">
        <v>87338</v>
      </c>
      <c r="G536">
        <v>15</v>
      </c>
      <c r="H536" s="4">
        <v>108.2</v>
      </c>
      <c r="I536" s="2">
        <v>0.8</v>
      </c>
      <c r="J536">
        <v>13</v>
      </c>
      <c r="K536">
        <v>2</v>
      </c>
      <c r="L536">
        <v>64</v>
      </c>
      <c r="M536" s="1" t="s">
        <v>1413</v>
      </c>
      <c r="N536" s="1" t="s">
        <v>1019</v>
      </c>
    </row>
    <row r="537" spans="1:14" x14ac:dyDescent="0.25">
      <c r="A537" s="1" t="s">
        <v>546</v>
      </c>
      <c r="B537" s="1" t="s">
        <v>1266</v>
      </c>
      <c r="C537" s="1" t="s">
        <v>7</v>
      </c>
      <c r="D537">
        <v>646068</v>
      </c>
      <c r="E537">
        <v>69135</v>
      </c>
      <c r="F537">
        <v>71067</v>
      </c>
      <c r="G537">
        <v>15</v>
      </c>
      <c r="H537" s="4">
        <v>103.80000000000001</v>
      </c>
      <c r="I537" s="2">
        <v>0.6</v>
      </c>
      <c r="J537">
        <v>0</v>
      </c>
      <c r="K537">
        <v>0</v>
      </c>
      <c r="L537">
        <v>84</v>
      </c>
      <c r="M537" s="1" t="s">
        <v>1021</v>
      </c>
      <c r="N537" s="1" t="s">
        <v>1020</v>
      </c>
    </row>
    <row r="538" spans="1:14" x14ac:dyDescent="0.25">
      <c r="A538" s="1" t="s">
        <v>547</v>
      </c>
      <c r="B538" s="1" t="s">
        <v>1337</v>
      </c>
      <c r="C538" s="1" t="s">
        <v>52</v>
      </c>
      <c r="D538">
        <v>672804</v>
      </c>
      <c r="E538">
        <v>87723</v>
      </c>
      <c r="F538">
        <v>74008</v>
      </c>
      <c r="G538">
        <v>15</v>
      </c>
      <c r="H538" s="4">
        <v>104</v>
      </c>
      <c r="I538" s="2">
        <v>0.86666666666666703</v>
      </c>
      <c r="J538">
        <v>0</v>
      </c>
      <c r="K538">
        <v>0</v>
      </c>
      <c r="L538">
        <v>58</v>
      </c>
      <c r="M538" s="1" t="s">
        <v>1413</v>
      </c>
      <c r="N538" s="1" t="s">
        <v>1019</v>
      </c>
    </row>
    <row r="539" spans="1:14" x14ac:dyDescent="0.25">
      <c r="A539" s="1" t="s">
        <v>548</v>
      </c>
      <c r="B539" s="1" t="s">
        <v>1338</v>
      </c>
      <c r="C539" s="1" t="s">
        <v>52</v>
      </c>
      <c r="D539">
        <v>411520</v>
      </c>
      <c r="E539">
        <v>55515</v>
      </c>
      <c r="F539">
        <v>45267</v>
      </c>
      <c r="G539">
        <v>15</v>
      </c>
      <c r="H539" s="4">
        <v>85.8</v>
      </c>
      <c r="I539" s="2">
        <v>0.6</v>
      </c>
      <c r="J539">
        <v>14</v>
      </c>
      <c r="K539">
        <v>1</v>
      </c>
      <c r="L539">
        <v>59</v>
      </c>
      <c r="M539" s="1" t="s">
        <v>1021</v>
      </c>
      <c r="N539" s="1" t="s">
        <v>1019</v>
      </c>
    </row>
    <row r="540" spans="1:14" x14ac:dyDescent="0.25">
      <c r="A540" s="1" t="s">
        <v>549</v>
      </c>
      <c r="B540" s="1" t="s">
        <v>1256</v>
      </c>
      <c r="C540" s="1" t="s">
        <v>1117</v>
      </c>
      <c r="D540">
        <v>351154</v>
      </c>
      <c r="E540">
        <v>85740</v>
      </c>
      <c r="F540">
        <v>38627</v>
      </c>
      <c r="G540">
        <v>15</v>
      </c>
      <c r="H540" s="4">
        <v>93.5</v>
      </c>
      <c r="I540" s="2">
        <v>0.8</v>
      </c>
      <c r="J540">
        <v>0</v>
      </c>
      <c r="K540">
        <v>0</v>
      </c>
      <c r="L540">
        <v>93</v>
      </c>
      <c r="M540" s="1" t="s">
        <v>1014</v>
      </c>
      <c r="N540" s="1" t="s">
        <v>1015</v>
      </c>
    </row>
    <row r="541" spans="1:14" x14ac:dyDescent="0.25">
      <c r="A541" s="1" t="s">
        <v>550</v>
      </c>
      <c r="B541" s="1" t="s">
        <v>1232</v>
      </c>
      <c r="C541" s="1" t="s">
        <v>3</v>
      </c>
      <c r="D541">
        <v>299604</v>
      </c>
      <c r="E541">
        <v>33826</v>
      </c>
      <c r="F541">
        <v>32956</v>
      </c>
      <c r="G541">
        <v>15</v>
      </c>
      <c r="H541" s="4">
        <v>124.6</v>
      </c>
      <c r="I541" s="2">
        <v>0.86666666666666703</v>
      </c>
      <c r="J541">
        <v>0</v>
      </c>
      <c r="K541">
        <v>0</v>
      </c>
      <c r="L541">
        <v>60</v>
      </c>
      <c r="M541" s="1" t="s">
        <v>1413</v>
      </c>
      <c r="N541" s="1" t="s">
        <v>1019</v>
      </c>
    </row>
    <row r="542" spans="1:14" x14ac:dyDescent="0.25">
      <c r="A542" s="1" t="s">
        <v>551</v>
      </c>
      <c r="B542" s="1" t="s">
        <v>1339</v>
      </c>
      <c r="C542" s="1" t="s">
        <v>1037</v>
      </c>
      <c r="D542">
        <v>595426</v>
      </c>
      <c r="E542">
        <v>84139</v>
      </c>
      <c r="F542">
        <v>65497</v>
      </c>
      <c r="G542">
        <v>15</v>
      </c>
      <c r="H542" s="4">
        <v>105.49999999999999</v>
      </c>
      <c r="I542" s="2">
        <v>0.73333333333333295</v>
      </c>
      <c r="J542">
        <v>7</v>
      </c>
      <c r="K542">
        <v>1</v>
      </c>
      <c r="L542">
        <v>91</v>
      </c>
      <c r="M542" s="1" t="s">
        <v>1413</v>
      </c>
      <c r="N542" s="1" t="s">
        <v>1015</v>
      </c>
    </row>
    <row r="543" spans="1:14" x14ac:dyDescent="0.25">
      <c r="A543" s="1" t="s">
        <v>552</v>
      </c>
      <c r="B543" s="1" t="s">
        <v>1161</v>
      </c>
      <c r="C543" s="1" t="s">
        <v>9</v>
      </c>
      <c r="D543">
        <v>566639</v>
      </c>
      <c r="E543">
        <v>24839</v>
      </c>
      <c r="F543">
        <v>62330</v>
      </c>
      <c r="G543">
        <v>14</v>
      </c>
      <c r="H543" s="4">
        <v>90.199999999999989</v>
      </c>
      <c r="I543" s="2">
        <v>0.78571428571428603</v>
      </c>
      <c r="J543">
        <v>0</v>
      </c>
      <c r="K543">
        <v>0</v>
      </c>
      <c r="L543">
        <v>65</v>
      </c>
      <c r="M543" s="1" t="s">
        <v>1021</v>
      </c>
      <c r="N543" s="1" t="s">
        <v>1019</v>
      </c>
    </row>
    <row r="544" spans="1:14" x14ac:dyDescent="0.25">
      <c r="A544" s="1" t="s">
        <v>553</v>
      </c>
      <c r="B544" s="1" t="s">
        <v>1085</v>
      </c>
      <c r="C544" s="1" t="s">
        <v>9</v>
      </c>
      <c r="D544">
        <v>523893</v>
      </c>
      <c r="E544">
        <v>21207</v>
      </c>
      <c r="F544">
        <v>57628</v>
      </c>
      <c r="G544">
        <v>15</v>
      </c>
      <c r="H544" s="4">
        <v>113.19999999999999</v>
      </c>
      <c r="I544" s="2">
        <v>0.8</v>
      </c>
      <c r="J544">
        <v>0</v>
      </c>
      <c r="K544">
        <v>0</v>
      </c>
      <c r="L544">
        <v>82</v>
      </c>
      <c r="M544" s="1" t="s">
        <v>1413</v>
      </c>
      <c r="N544" s="1" t="s">
        <v>1020</v>
      </c>
    </row>
    <row r="545" spans="1:14" x14ac:dyDescent="0.25">
      <c r="A545" s="1" t="s">
        <v>554</v>
      </c>
      <c r="B545" s="1" t="s">
        <v>1084</v>
      </c>
      <c r="C545" s="1" t="s">
        <v>37</v>
      </c>
      <c r="D545">
        <v>793950</v>
      </c>
      <c r="E545">
        <v>70960</v>
      </c>
      <c r="F545">
        <v>87334</v>
      </c>
      <c r="G545">
        <v>15</v>
      </c>
      <c r="H545" s="4">
        <v>97.8</v>
      </c>
      <c r="I545" s="2">
        <v>0.73333333333333295</v>
      </c>
      <c r="J545">
        <v>12</v>
      </c>
      <c r="K545">
        <v>1</v>
      </c>
      <c r="L545">
        <v>62</v>
      </c>
      <c r="M545" s="1" t="s">
        <v>1018</v>
      </c>
      <c r="N545" s="1" t="s">
        <v>1019</v>
      </c>
    </row>
    <row r="546" spans="1:14" x14ac:dyDescent="0.25">
      <c r="A546" s="1" t="s">
        <v>555</v>
      </c>
      <c r="B546" s="1" t="s">
        <v>1330</v>
      </c>
      <c r="C546" s="1" t="s">
        <v>7</v>
      </c>
      <c r="D546">
        <v>803779</v>
      </c>
      <c r="E546">
        <v>24581</v>
      </c>
      <c r="F546">
        <v>88416</v>
      </c>
      <c r="G546">
        <v>15</v>
      </c>
      <c r="H546" s="4">
        <v>96.200000000000017</v>
      </c>
      <c r="I546" s="2">
        <v>0.8</v>
      </c>
      <c r="J546">
        <v>27</v>
      </c>
      <c r="K546">
        <v>2</v>
      </c>
      <c r="L546">
        <v>92</v>
      </c>
      <c r="M546" s="1" t="s">
        <v>1016</v>
      </c>
      <c r="N546" s="1" t="s">
        <v>1015</v>
      </c>
    </row>
    <row r="547" spans="1:14" x14ac:dyDescent="0.25">
      <c r="A547" s="1" t="s">
        <v>556</v>
      </c>
      <c r="B547" s="1" t="s">
        <v>1096</v>
      </c>
      <c r="C547" s="1" t="s">
        <v>37</v>
      </c>
      <c r="D547">
        <v>477780</v>
      </c>
      <c r="E547">
        <v>85076</v>
      </c>
      <c r="F547">
        <v>52556</v>
      </c>
      <c r="G547">
        <v>15</v>
      </c>
      <c r="H547" s="4">
        <v>103.79999999999998</v>
      </c>
      <c r="I547" s="2">
        <v>0.6</v>
      </c>
      <c r="J547">
        <v>0</v>
      </c>
      <c r="K547">
        <v>0</v>
      </c>
      <c r="L547">
        <v>87</v>
      </c>
      <c r="M547" s="1" t="s">
        <v>1021</v>
      </c>
      <c r="N547" s="1" t="s">
        <v>1020</v>
      </c>
    </row>
    <row r="548" spans="1:14" x14ac:dyDescent="0.25">
      <c r="A548" s="1" t="s">
        <v>557</v>
      </c>
      <c r="B548" s="1" t="s">
        <v>1306</v>
      </c>
      <c r="C548" s="1" t="s">
        <v>27</v>
      </c>
      <c r="D548">
        <v>256233</v>
      </c>
      <c r="E548">
        <v>69146</v>
      </c>
      <c r="F548">
        <v>28186</v>
      </c>
      <c r="G548">
        <v>15</v>
      </c>
      <c r="H548" s="4">
        <v>103.3</v>
      </c>
      <c r="I548" s="2">
        <v>0.66666666666666696</v>
      </c>
      <c r="J548">
        <v>14</v>
      </c>
      <c r="K548">
        <v>2</v>
      </c>
      <c r="L548">
        <v>62</v>
      </c>
      <c r="M548" s="1" t="s">
        <v>1021</v>
      </c>
      <c r="N548" s="1" t="s">
        <v>1019</v>
      </c>
    </row>
    <row r="549" spans="1:14" x14ac:dyDescent="0.25">
      <c r="A549" s="1" t="s">
        <v>558</v>
      </c>
      <c r="B549" s="1" t="s">
        <v>1128</v>
      </c>
      <c r="C549" s="1" t="s">
        <v>7</v>
      </c>
      <c r="D549">
        <v>796638</v>
      </c>
      <c r="E549">
        <v>72173</v>
      </c>
      <c r="F549">
        <v>87630</v>
      </c>
      <c r="G549">
        <v>15</v>
      </c>
      <c r="H549" s="4">
        <v>103.3</v>
      </c>
      <c r="I549" s="2">
        <v>0.86666666666666703</v>
      </c>
      <c r="J549">
        <v>13</v>
      </c>
      <c r="K549">
        <v>1</v>
      </c>
      <c r="L549">
        <v>57</v>
      </c>
      <c r="M549" s="1" t="s">
        <v>1014</v>
      </c>
      <c r="N549" s="1" t="s">
        <v>1019</v>
      </c>
    </row>
    <row r="550" spans="1:14" x14ac:dyDescent="0.25">
      <c r="A550" s="1" t="s">
        <v>559</v>
      </c>
      <c r="B550" s="1" t="s">
        <v>1265</v>
      </c>
      <c r="C550" s="1" t="s">
        <v>5</v>
      </c>
      <c r="D550">
        <v>394448</v>
      </c>
      <c r="E550">
        <v>595</v>
      </c>
      <c r="F550">
        <v>43389</v>
      </c>
      <c r="G550">
        <v>15</v>
      </c>
      <c r="H550" s="4">
        <v>102</v>
      </c>
      <c r="I550" s="2">
        <v>0.86666666666666703</v>
      </c>
      <c r="J550">
        <v>0</v>
      </c>
      <c r="K550">
        <v>0</v>
      </c>
      <c r="L550">
        <v>96</v>
      </c>
      <c r="M550" s="1" t="s">
        <v>1016</v>
      </c>
      <c r="N550" s="1" t="s">
        <v>1015</v>
      </c>
    </row>
    <row r="551" spans="1:14" x14ac:dyDescent="0.25">
      <c r="A551" s="1" t="s">
        <v>560</v>
      </c>
      <c r="B551" s="1" t="s">
        <v>1340</v>
      </c>
      <c r="C551" s="1" t="s">
        <v>52</v>
      </c>
      <c r="D551">
        <v>368238</v>
      </c>
      <c r="E551">
        <v>38922</v>
      </c>
      <c r="F551">
        <v>40506</v>
      </c>
      <c r="G551">
        <v>15</v>
      </c>
      <c r="H551" s="4">
        <v>104.9</v>
      </c>
      <c r="I551" s="2">
        <v>0.86666666666666703</v>
      </c>
      <c r="J551">
        <v>10</v>
      </c>
      <c r="K551">
        <v>1</v>
      </c>
      <c r="L551">
        <v>70</v>
      </c>
      <c r="M551" s="1" t="s">
        <v>1018</v>
      </c>
      <c r="N551" s="1" t="s">
        <v>1017</v>
      </c>
    </row>
    <row r="552" spans="1:14" x14ac:dyDescent="0.25">
      <c r="A552" s="1" t="s">
        <v>561</v>
      </c>
      <c r="B552" s="1" t="s">
        <v>1304</v>
      </c>
      <c r="C552" s="1" t="s">
        <v>3</v>
      </c>
      <c r="D552">
        <v>264560</v>
      </c>
      <c r="E552">
        <v>87182</v>
      </c>
      <c r="F552">
        <v>29102</v>
      </c>
      <c r="G552">
        <v>15</v>
      </c>
      <c r="H552" s="4">
        <v>98.699999999999989</v>
      </c>
      <c r="I552" s="2">
        <v>0.66666666666666696</v>
      </c>
      <c r="J552">
        <v>0</v>
      </c>
      <c r="K552">
        <v>0</v>
      </c>
      <c r="L552">
        <v>96</v>
      </c>
      <c r="M552" s="1" t="s">
        <v>1018</v>
      </c>
      <c r="N552" s="1" t="s">
        <v>1015</v>
      </c>
    </row>
    <row r="553" spans="1:14" x14ac:dyDescent="0.25">
      <c r="A553" s="1" t="s">
        <v>562</v>
      </c>
      <c r="B553" s="1" t="s">
        <v>1338</v>
      </c>
      <c r="C553" s="1" t="s">
        <v>37</v>
      </c>
      <c r="D553">
        <v>781868</v>
      </c>
      <c r="E553">
        <v>81806</v>
      </c>
      <c r="F553">
        <v>86005</v>
      </c>
      <c r="G553">
        <v>15</v>
      </c>
      <c r="H553" s="4">
        <v>102.8</v>
      </c>
      <c r="I553" s="2">
        <v>0.86666666666666703</v>
      </c>
      <c r="J553">
        <v>0</v>
      </c>
      <c r="K553">
        <v>0</v>
      </c>
      <c r="L553">
        <v>77</v>
      </c>
      <c r="M553" s="1" t="s">
        <v>1413</v>
      </c>
      <c r="N553" s="1" t="s">
        <v>1017</v>
      </c>
    </row>
    <row r="554" spans="1:14" x14ac:dyDescent="0.25">
      <c r="A554" s="1" t="s">
        <v>563</v>
      </c>
      <c r="B554" s="1" t="s">
        <v>1233</v>
      </c>
      <c r="C554" s="1" t="s">
        <v>5</v>
      </c>
      <c r="D554">
        <v>233395</v>
      </c>
      <c r="E554">
        <v>82242</v>
      </c>
      <c r="F554">
        <v>25673</v>
      </c>
      <c r="G554">
        <v>15</v>
      </c>
      <c r="H554" s="4">
        <v>112.19999999999999</v>
      </c>
      <c r="I554" s="2">
        <v>0.66666666666666696</v>
      </c>
      <c r="J554">
        <v>0</v>
      </c>
      <c r="K554">
        <v>0</v>
      </c>
      <c r="L554">
        <v>67</v>
      </c>
      <c r="M554" s="1" t="s">
        <v>1014</v>
      </c>
      <c r="N554" s="1" t="s">
        <v>1019</v>
      </c>
    </row>
    <row r="555" spans="1:14" x14ac:dyDescent="0.25">
      <c r="A555" s="1" t="s">
        <v>564</v>
      </c>
      <c r="B555" s="1" t="s">
        <v>1151</v>
      </c>
      <c r="C555" s="1" t="s">
        <v>1117</v>
      </c>
      <c r="D555">
        <v>652988</v>
      </c>
      <c r="E555">
        <v>59399</v>
      </c>
      <c r="F555">
        <v>71829</v>
      </c>
      <c r="G555">
        <v>15</v>
      </c>
      <c r="H555" s="4">
        <v>108.8</v>
      </c>
      <c r="I555" s="2">
        <v>0.8</v>
      </c>
      <c r="J555">
        <v>3</v>
      </c>
      <c r="K555">
        <v>1</v>
      </c>
      <c r="L555">
        <v>75</v>
      </c>
      <c r="M555" s="1" t="s">
        <v>1016</v>
      </c>
      <c r="N555" s="1" t="s">
        <v>1017</v>
      </c>
    </row>
    <row r="556" spans="1:14" x14ac:dyDescent="0.25">
      <c r="A556" s="1" t="s">
        <v>565</v>
      </c>
      <c r="B556" s="1" t="s">
        <v>1171</v>
      </c>
      <c r="C556" s="1" t="s">
        <v>52</v>
      </c>
      <c r="D556">
        <v>498607</v>
      </c>
      <c r="E556">
        <v>67723</v>
      </c>
      <c r="F556">
        <v>54847</v>
      </c>
      <c r="G556">
        <v>15</v>
      </c>
      <c r="H556" s="4">
        <v>96.000000000000014</v>
      </c>
      <c r="I556" s="2">
        <v>0.66666666666666696</v>
      </c>
      <c r="J556">
        <v>12</v>
      </c>
      <c r="K556">
        <v>1</v>
      </c>
      <c r="L556">
        <v>99</v>
      </c>
      <c r="M556" s="1" t="s">
        <v>1021</v>
      </c>
      <c r="N556" s="1" t="s">
        <v>1015</v>
      </c>
    </row>
    <row r="557" spans="1:14" x14ac:dyDescent="0.25">
      <c r="A557" s="1" t="s">
        <v>566</v>
      </c>
      <c r="B557" s="1" t="s">
        <v>1147</v>
      </c>
      <c r="C557" s="1" t="s">
        <v>3</v>
      </c>
      <c r="D557">
        <v>376928</v>
      </c>
      <c r="E557">
        <v>52916</v>
      </c>
      <c r="F557">
        <v>41462</v>
      </c>
      <c r="G557">
        <v>15</v>
      </c>
      <c r="H557" s="4">
        <v>112.3</v>
      </c>
      <c r="I557" s="2">
        <v>0.8</v>
      </c>
      <c r="J557">
        <v>0</v>
      </c>
      <c r="K557">
        <v>0</v>
      </c>
      <c r="L557">
        <v>82</v>
      </c>
      <c r="M557" s="1" t="s">
        <v>1018</v>
      </c>
      <c r="N557" s="1" t="s">
        <v>1020</v>
      </c>
    </row>
    <row r="558" spans="1:14" x14ac:dyDescent="0.25">
      <c r="A558" s="1" t="s">
        <v>567</v>
      </c>
      <c r="B558" s="1" t="s">
        <v>1173</v>
      </c>
      <c r="C558" s="1" t="s">
        <v>7</v>
      </c>
      <c r="D558">
        <v>290569</v>
      </c>
      <c r="E558">
        <v>7413</v>
      </c>
      <c r="F558">
        <v>31963</v>
      </c>
      <c r="G558">
        <v>15</v>
      </c>
      <c r="H558" s="4">
        <v>105.1</v>
      </c>
      <c r="I558" s="2">
        <v>0.8</v>
      </c>
      <c r="J558">
        <v>0</v>
      </c>
      <c r="K558">
        <v>0</v>
      </c>
      <c r="L558">
        <v>63</v>
      </c>
      <c r="M558" s="1" t="s">
        <v>1021</v>
      </c>
      <c r="N558" s="1" t="s">
        <v>1019</v>
      </c>
    </row>
    <row r="559" spans="1:14" x14ac:dyDescent="0.25">
      <c r="A559" s="1" t="s">
        <v>568</v>
      </c>
      <c r="B559" s="1" t="s">
        <v>1341</v>
      </c>
      <c r="C559" s="1" t="s">
        <v>5</v>
      </c>
      <c r="D559">
        <v>383619</v>
      </c>
      <c r="E559">
        <v>7010</v>
      </c>
      <c r="F559">
        <v>42198</v>
      </c>
      <c r="G559">
        <v>15</v>
      </c>
      <c r="H559" s="4">
        <v>86.2</v>
      </c>
      <c r="I559" s="2">
        <v>0.73333333333333295</v>
      </c>
      <c r="J559">
        <v>0</v>
      </c>
      <c r="K559">
        <v>0</v>
      </c>
      <c r="L559">
        <v>79</v>
      </c>
      <c r="M559" s="1" t="s">
        <v>1014</v>
      </c>
      <c r="N559" s="1" t="s">
        <v>1017</v>
      </c>
    </row>
    <row r="560" spans="1:14" x14ac:dyDescent="0.25">
      <c r="A560" s="1" t="s">
        <v>569</v>
      </c>
      <c r="B560" s="1" t="s">
        <v>1255</v>
      </c>
      <c r="C560" s="1" t="s">
        <v>5</v>
      </c>
      <c r="D560">
        <v>541732</v>
      </c>
      <c r="E560">
        <v>40242</v>
      </c>
      <c r="F560">
        <v>59591</v>
      </c>
      <c r="G560">
        <v>15</v>
      </c>
      <c r="H560" s="4">
        <v>113.9</v>
      </c>
      <c r="I560" s="2">
        <v>0.86666666666666703</v>
      </c>
      <c r="J560">
        <v>3</v>
      </c>
      <c r="K560">
        <v>1</v>
      </c>
      <c r="L560">
        <v>60</v>
      </c>
      <c r="M560" s="1" t="s">
        <v>1021</v>
      </c>
      <c r="N560" s="1" t="s">
        <v>1019</v>
      </c>
    </row>
    <row r="561" spans="1:14" x14ac:dyDescent="0.25">
      <c r="A561" s="1" t="s">
        <v>570</v>
      </c>
      <c r="B561" s="1" t="s">
        <v>1309</v>
      </c>
      <c r="C561" s="1" t="s">
        <v>9</v>
      </c>
      <c r="D561">
        <v>721699</v>
      </c>
      <c r="E561">
        <v>69216</v>
      </c>
      <c r="F561">
        <v>79387</v>
      </c>
      <c r="G561">
        <v>15</v>
      </c>
      <c r="H561" s="4">
        <v>105.2</v>
      </c>
      <c r="I561" s="2">
        <v>0.6</v>
      </c>
      <c r="J561">
        <v>8</v>
      </c>
      <c r="K561">
        <v>1</v>
      </c>
      <c r="L561">
        <v>78</v>
      </c>
      <c r="M561" s="1" t="s">
        <v>1018</v>
      </c>
      <c r="N561" s="1" t="s">
        <v>1017</v>
      </c>
    </row>
    <row r="562" spans="1:14" x14ac:dyDescent="0.25">
      <c r="A562" s="1" t="s">
        <v>571</v>
      </c>
      <c r="B562" s="1" t="s">
        <v>1342</v>
      </c>
      <c r="C562" s="1" t="s">
        <v>3</v>
      </c>
      <c r="D562">
        <v>598085</v>
      </c>
      <c r="E562">
        <v>10660</v>
      </c>
      <c r="G562">
        <v>15</v>
      </c>
      <c r="H562" s="4">
        <v>72.299999999999983</v>
      </c>
      <c r="I562" s="2">
        <v>0.46666666666666701</v>
      </c>
      <c r="J562">
        <v>0</v>
      </c>
      <c r="K562">
        <v>0</v>
      </c>
      <c r="L562">
        <v>79</v>
      </c>
      <c r="M562" s="1" t="s">
        <v>1016</v>
      </c>
      <c r="N562" s="1" t="s">
        <v>1017</v>
      </c>
    </row>
    <row r="563" spans="1:14" x14ac:dyDescent="0.25">
      <c r="A563" s="1" t="s">
        <v>572</v>
      </c>
      <c r="B563" s="1" t="s">
        <v>1143</v>
      </c>
      <c r="C563" s="1" t="s">
        <v>7</v>
      </c>
      <c r="D563">
        <v>240534</v>
      </c>
      <c r="E563">
        <v>57644</v>
      </c>
      <c r="F563">
        <v>26459</v>
      </c>
      <c r="G563">
        <v>15</v>
      </c>
      <c r="H563" s="4">
        <v>100.3</v>
      </c>
      <c r="I563" s="2">
        <v>0.8</v>
      </c>
      <c r="J563">
        <v>0</v>
      </c>
      <c r="K563">
        <v>0</v>
      </c>
      <c r="L563">
        <v>71</v>
      </c>
      <c r="M563" s="1" t="s">
        <v>1021</v>
      </c>
      <c r="N563" s="1" t="s">
        <v>1017</v>
      </c>
    </row>
    <row r="564" spans="1:14" x14ac:dyDescent="0.25">
      <c r="A564" s="1" t="s">
        <v>573</v>
      </c>
      <c r="B564" s="1" t="s">
        <v>1343</v>
      </c>
      <c r="C564" s="1" t="s">
        <v>23</v>
      </c>
      <c r="D564">
        <v>843880</v>
      </c>
      <c r="E564">
        <v>1515</v>
      </c>
      <c r="F564">
        <v>92827</v>
      </c>
      <c r="G564">
        <v>15</v>
      </c>
      <c r="H564" s="4">
        <v>116.10000000000001</v>
      </c>
      <c r="I564" s="2">
        <v>1</v>
      </c>
      <c r="J564">
        <v>0</v>
      </c>
      <c r="K564">
        <v>0</v>
      </c>
      <c r="L564">
        <v>72</v>
      </c>
      <c r="M564" s="1" t="s">
        <v>1014</v>
      </c>
      <c r="N564" s="1" t="s">
        <v>1017</v>
      </c>
    </row>
    <row r="565" spans="1:14" x14ac:dyDescent="0.25">
      <c r="A565" s="1" t="s">
        <v>574</v>
      </c>
      <c r="B565" s="1" t="s">
        <v>1101</v>
      </c>
      <c r="C565" s="1" t="s">
        <v>7</v>
      </c>
      <c r="D565">
        <v>440209</v>
      </c>
      <c r="E565">
        <v>16945</v>
      </c>
      <c r="F565">
        <v>48423</v>
      </c>
      <c r="G565">
        <v>15</v>
      </c>
      <c r="H565" s="4">
        <v>112.4</v>
      </c>
      <c r="I565" s="2">
        <v>0.8</v>
      </c>
      <c r="J565">
        <v>0</v>
      </c>
      <c r="K565">
        <v>0</v>
      </c>
      <c r="L565">
        <v>70</v>
      </c>
      <c r="M565" s="1" t="s">
        <v>1413</v>
      </c>
      <c r="N565" s="1" t="s">
        <v>1017</v>
      </c>
    </row>
    <row r="566" spans="1:14" x14ac:dyDescent="0.25">
      <c r="A566" s="1" t="s">
        <v>575</v>
      </c>
      <c r="B566" s="1" t="s">
        <v>1206</v>
      </c>
      <c r="C566" s="1" t="s">
        <v>27</v>
      </c>
      <c r="D566">
        <v>430350</v>
      </c>
      <c r="E566">
        <v>23950</v>
      </c>
      <c r="F566">
        <v>47338</v>
      </c>
      <c r="G566">
        <v>15</v>
      </c>
      <c r="H566" s="4">
        <v>89.8</v>
      </c>
      <c r="I566" s="2">
        <v>0.66666666666666696</v>
      </c>
      <c r="J566">
        <v>2</v>
      </c>
      <c r="K566">
        <v>1</v>
      </c>
      <c r="L566">
        <v>66</v>
      </c>
      <c r="M566" s="1" t="s">
        <v>1021</v>
      </c>
      <c r="N566" s="1" t="s">
        <v>1019</v>
      </c>
    </row>
    <row r="567" spans="1:14" x14ac:dyDescent="0.25">
      <c r="A567" s="1" t="s">
        <v>576</v>
      </c>
      <c r="B567" s="1" t="s">
        <v>1185</v>
      </c>
      <c r="C567" s="1" t="s">
        <v>52</v>
      </c>
      <c r="D567">
        <v>270615</v>
      </c>
      <c r="E567">
        <v>61770</v>
      </c>
      <c r="F567">
        <v>29768</v>
      </c>
      <c r="G567">
        <v>14</v>
      </c>
      <c r="H567" s="4">
        <v>96</v>
      </c>
      <c r="I567" s="2">
        <v>0.78571428571428603</v>
      </c>
      <c r="J567">
        <v>4</v>
      </c>
      <c r="K567">
        <v>1</v>
      </c>
      <c r="L567">
        <v>88</v>
      </c>
      <c r="M567" s="1" t="s">
        <v>1016</v>
      </c>
      <c r="N567" s="1" t="s">
        <v>1020</v>
      </c>
    </row>
    <row r="568" spans="1:14" x14ac:dyDescent="0.25">
      <c r="A568" s="1" t="s">
        <v>577</v>
      </c>
      <c r="B568" s="1" t="s">
        <v>1344</v>
      </c>
      <c r="C568" s="1" t="s">
        <v>1037</v>
      </c>
      <c r="D568">
        <v>627503</v>
      </c>
      <c r="E568">
        <v>81226</v>
      </c>
      <c r="F568">
        <v>69025</v>
      </c>
      <c r="G568">
        <v>14</v>
      </c>
      <c r="H568" s="4">
        <v>98.2</v>
      </c>
      <c r="I568" s="2">
        <v>0.78571428571428603</v>
      </c>
      <c r="J568">
        <v>0</v>
      </c>
      <c r="K568">
        <v>0</v>
      </c>
      <c r="L568">
        <v>80</v>
      </c>
      <c r="M568" s="1" t="s">
        <v>1021</v>
      </c>
      <c r="N568" s="1" t="s">
        <v>1020</v>
      </c>
    </row>
    <row r="569" spans="1:14" x14ac:dyDescent="0.25">
      <c r="A569" s="1" t="s">
        <v>578</v>
      </c>
      <c r="B569" s="1" t="s">
        <v>1060</v>
      </c>
      <c r="C569" s="1" t="s">
        <v>1037</v>
      </c>
      <c r="D569">
        <v>347193</v>
      </c>
      <c r="E569">
        <v>33432</v>
      </c>
      <c r="F569">
        <v>38191</v>
      </c>
      <c r="G569">
        <v>15</v>
      </c>
      <c r="H569" s="4">
        <v>102.5</v>
      </c>
      <c r="I569" s="2">
        <v>0.8</v>
      </c>
      <c r="J569">
        <v>0</v>
      </c>
      <c r="K569">
        <v>0</v>
      </c>
      <c r="L569">
        <v>61</v>
      </c>
      <c r="M569" s="1" t="s">
        <v>1014</v>
      </c>
      <c r="N569" s="1" t="s">
        <v>1019</v>
      </c>
    </row>
    <row r="570" spans="1:14" x14ac:dyDescent="0.25">
      <c r="A570" s="1" t="s">
        <v>579</v>
      </c>
      <c r="B570" s="1" t="s">
        <v>1157</v>
      </c>
      <c r="C570" s="1" t="s">
        <v>5</v>
      </c>
      <c r="D570">
        <v>501072</v>
      </c>
      <c r="E570">
        <v>42391</v>
      </c>
      <c r="F570">
        <v>55118</v>
      </c>
      <c r="G570">
        <v>15</v>
      </c>
      <c r="H570" s="4">
        <v>107.4</v>
      </c>
      <c r="I570" s="2">
        <v>0.73333333333333295</v>
      </c>
      <c r="J570">
        <v>2</v>
      </c>
      <c r="K570">
        <v>1</v>
      </c>
      <c r="L570">
        <v>77</v>
      </c>
      <c r="M570" s="1" t="s">
        <v>1016</v>
      </c>
      <c r="N570" s="1" t="s">
        <v>1017</v>
      </c>
    </row>
    <row r="571" spans="1:14" x14ac:dyDescent="0.25">
      <c r="A571" s="1" t="s">
        <v>580</v>
      </c>
      <c r="B571" s="1" t="s">
        <v>1335</v>
      </c>
      <c r="C571" s="1" t="s">
        <v>1117</v>
      </c>
      <c r="D571">
        <v>364029</v>
      </c>
      <c r="E571">
        <v>71336</v>
      </c>
      <c r="F571">
        <v>40043</v>
      </c>
      <c r="G571">
        <v>14</v>
      </c>
      <c r="H571" s="4">
        <v>96.3</v>
      </c>
      <c r="I571" s="2">
        <v>0.5</v>
      </c>
      <c r="J571">
        <v>0</v>
      </c>
      <c r="K571">
        <v>0</v>
      </c>
      <c r="L571">
        <v>61</v>
      </c>
      <c r="M571" s="1" t="s">
        <v>1014</v>
      </c>
      <c r="N571" s="1" t="s">
        <v>1019</v>
      </c>
    </row>
    <row r="572" spans="1:14" x14ac:dyDescent="0.25">
      <c r="A572" s="1" t="s">
        <v>581</v>
      </c>
      <c r="B572" s="1" t="s">
        <v>1284</v>
      </c>
      <c r="C572" s="1" t="s">
        <v>52</v>
      </c>
      <c r="D572">
        <v>843811</v>
      </c>
      <c r="E572">
        <v>77349</v>
      </c>
      <c r="F572">
        <v>92819</v>
      </c>
      <c r="G572">
        <v>15</v>
      </c>
      <c r="H572" s="4">
        <v>87.199999999999989</v>
      </c>
      <c r="I572" s="2">
        <v>0.53333333333333299</v>
      </c>
      <c r="J572">
        <v>0</v>
      </c>
      <c r="K572">
        <v>0</v>
      </c>
      <c r="L572">
        <v>77</v>
      </c>
      <c r="M572" s="1" t="s">
        <v>1021</v>
      </c>
      <c r="N572" s="1" t="s">
        <v>1017</v>
      </c>
    </row>
    <row r="573" spans="1:14" x14ac:dyDescent="0.25">
      <c r="A573" s="1" t="s">
        <v>582</v>
      </c>
      <c r="B573" s="1" t="s">
        <v>1181</v>
      </c>
      <c r="C573" s="1" t="s">
        <v>9</v>
      </c>
      <c r="D573">
        <v>711460</v>
      </c>
      <c r="E573">
        <v>34321</v>
      </c>
      <c r="F573">
        <v>78261</v>
      </c>
      <c r="G573">
        <v>15</v>
      </c>
      <c r="H573" s="4">
        <v>101.39999999999999</v>
      </c>
      <c r="I573" s="2">
        <v>0.8</v>
      </c>
      <c r="J573">
        <v>0</v>
      </c>
      <c r="K573">
        <v>0</v>
      </c>
      <c r="L573">
        <v>60</v>
      </c>
      <c r="M573" s="1" t="s">
        <v>1413</v>
      </c>
      <c r="N573" s="1" t="s">
        <v>1019</v>
      </c>
    </row>
    <row r="574" spans="1:14" x14ac:dyDescent="0.25">
      <c r="A574" s="1" t="s">
        <v>583</v>
      </c>
      <c r="B574" s="1" t="s">
        <v>1180</v>
      </c>
      <c r="C574" s="1" t="s">
        <v>52</v>
      </c>
      <c r="D574">
        <v>536002</v>
      </c>
      <c r="E574">
        <v>77463</v>
      </c>
      <c r="F574">
        <v>58960</v>
      </c>
      <c r="G574">
        <v>14</v>
      </c>
      <c r="H574" s="4">
        <v>95.2</v>
      </c>
      <c r="I574" s="2">
        <v>0.71428571428571397</v>
      </c>
      <c r="J574">
        <v>0</v>
      </c>
      <c r="K574">
        <v>0</v>
      </c>
      <c r="L574">
        <v>65</v>
      </c>
      <c r="M574" s="1" t="s">
        <v>1018</v>
      </c>
      <c r="N574" s="1" t="s">
        <v>1019</v>
      </c>
    </row>
    <row r="575" spans="1:14" x14ac:dyDescent="0.25">
      <c r="A575" s="1" t="s">
        <v>584</v>
      </c>
      <c r="B575" s="1" t="s">
        <v>1065</v>
      </c>
      <c r="C575" s="1" t="s">
        <v>1037</v>
      </c>
      <c r="D575">
        <v>269356</v>
      </c>
      <c r="E575">
        <v>38864</v>
      </c>
      <c r="F575">
        <v>29629</v>
      </c>
      <c r="G575">
        <v>15</v>
      </c>
      <c r="H575" s="4">
        <v>104.3</v>
      </c>
      <c r="I575" s="2">
        <v>0.8</v>
      </c>
      <c r="J575">
        <v>0</v>
      </c>
      <c r="K575">
        <v>0</v>
      </c>
      <c r="L575">
        <v>95</v>
      </c>
      <c r="M575" s="1" t="s">
        <v>1021</v>
      </c>
      <c r="N575" s="1" t="s">
        <v>1015</v>
      </c>
    </row>
    <row r="576" spans="1:14" x14ac:dyDescent="0.25">
      <c r="A576" s="1" t="s">
        <v>585</v>
      </c>
      <c r="B576" s="1" t="s">
        <v>1068</v>
      </c>
      <c r="C576" s="1" t="s">
        <v>9</v>
      </c>
      <c r="D576">
        <v>763837</v>
      </c>
      <c r="E576">
        <v>3090</v>
      </c>
      <c r="F576">
        <v>84022</v>
      </c>
      <c r="G576">
        <v>15</v>
      </c>
      <c r="H576" s="4">
        <v>119</v>
      </c>
      <c r="I576" s="2">
        <v>0.8</v>
      </c>
      <c r="J576">
        <v>0</v>
      </c>
      <c r="K576">
        <v>0</v>
      </c>
      <c r="L576">
        <v>84</v>
      </c>
      <c r="M576" s="1" t="s">
        <v>1018</v>
      </c>
      <c r="N576" s="1" t="s">
        <v>1020</v>
      </c>
    </row>
    <row r="577" spans="1:14" x14ac:dyDescent="0.25">
      <c r="A577" s="1" t="s">
        <v>586</v>
      </c>
      <c r="B577" s="1" t="s">
        <v>1167</v>
      </c>
      <c r="C577" s="1" t="s">
        <v>52</v>
      </c>
      <c r="D577">
        <v>709926</v>
      </c>
      <c r="E577">
        <v>87312</v>
      </c>
      <c r="F577">
        <v>78092</v>
      </c>
      <c r="G577">
        <v>15</v>
      </c>
      <c r="H577" s="4">
        <v>89.6</v>
      </c>
      <c r="I577" s="2">
        <v>0.53333333333333299</v>
      </c>
      <c r="J577">
        <v>0</v>
      </c>
      <c r="K577">
        <v>0</v>
      </c>
      <c r="L577">
        <v>66</v>
      </c>
      <c r="M577" s="1" t="s">
        <v>1413</v>
      </c>
      <c r="N577" s="1" t="s">
        <v>1019</v>
      </c>
    </row>
    <row r="578" spans="1:14" x14ac:dyDescent="0.25">
      <c r="A578" s="1" t="s">
        <v>587</v>
      </c>
      <c r="B578" s="1" t="s">
        <v>1345</v>
      </c>
      <c r="C578" s="1" t="s">
        <v>3</v>
      </c>
      <c r="D578">
        <v>809376</v>
      </c>
      <c r="E578">
        <v>27251</v>
      </c>
      <c r="F578">
        <v>89031</v>
      </c>
      <c r="G578">
        <v>15</v>
      </c>
      <c r="H578" s="4">
        <v>115.10000000000001</v>
      </c>
      <c r="I578" s="2">
        <v>0.86666666666666703</v>
      </c>
      <c r="J578">
        <v>0</v>
      </c>
      <c r="K578">
        <v>0</v>
      </c>
      <c r="L578">
        <v>60</v>
      </c>
      <c r="M578" s="1" t="s">
        <v>1018</v>
      </c>
      <c r="N578" s="1" t="s">
        <v>1019</v>
      </c>
    </row>
    <row r="579" spans="1:14" x14ac:dyDescent="0.25">
      <c r="A579" s="1" t="s">
        <v>588</v>
      </c>
      <c r="B579" s="1" t="s">
        <v>1030</v>
      </c>
      <c r="C579" s="1" t="s">
        <v>3</v>
      </c>
      <c r="D579">
        <v>488015</v>
      </c>
      <c r="E579">
        <v>67600</v>
      </c>
      <c r="F579">
        <v>53682</v>
      </c>
      <c r="G579">
        <v>15</v>
      </c>
      <c r="H579" s="4">
        <v>106.19999999999999</v>
      </c>
      <c r="I579" s="2">
        <v>0.73333333333333295</v>
      </c>
      <c r="J579">
        <v>0</v>
      </c>
      <c r="K579">
        <v>0</v>
      </c>
      <c r="L579">
        <v>82</v>
      </c>
      <c r="M579" s="1" t="s">
        <v>1016</v>
      </c>
      <c r="N579" s="1" t="s">
        <v>1020</v>
      </c>
    </row>
    <row r="580" spans="1:14" x14ac:dyDescent="0.25">
      <c r="A580" s="1" t="s">
        <v>589</v>
      </c>
      <c r="B580" s="1" t="s">
        <v>1294</v>
      </c>
      <c r="C580" s="1" t="s">
        <v>23</v>
      </c>
      <c r="D580">
        <v>333161</v>
      </c>
      <c r="E580">
        <v>75264</v>
      </c>
      <c r="F580">
        <v>36648</v>
      </c>
      <c r="G580">
        <v>15</v>
      </c>
      <c r="H580" s="4">
        <v>120.50000000000001</v>
      </c>
      <c r="I580" s="2">
        <v>0.8</v>
      </c>
      <c r="J580">
        <v>5</v>
      </c>
      <c r="K580">
        <v>1</v>
      </c>
      <c r="L580">
        <v>58</v>
      </c>
      <c r="M580" s="1" t="s">
        <v>1413</v>
      </c>
      <c r="N580" s="1" t="s">
        <v>1019</v>
      </c>
    </row>
    <row r="581" spans="1:14" x14ac:dyDescent="0.25">
      <c r="A581" s="1" t="s">
        <v>590</v>
      </c>
      <c r="B581" s="1" t="s">
        <v>1031</v>
      </c>
      <c r="C581" s="1" t="s">
        <v>9</v>
      </c>
      <c r="D581">
        <v>812023</v>
      </c>
      <c r="E581">
        <v>37465</v>
      </c>
      <c r="F581">
        <v>89323</v>
      </c>
      <c r="G581">
        <v>15</v>
      </c>
      <c r="H581" s="4">
        <v>94.7</v>
      </c>
      <c r="I581" s="2">
        <v>0.6</v>
      </c>
      <c r="J581">
        <v>0</v>
      </c>
      <c r="K581">
        <v>0</v>
      </c>
      <c r="L581">
        <v>84</v>
      </c>
      <c r="M581" s="1" t="s">
        <v>1016</v>
      </c>
      <c r="N581" s="1" t="s">
        <v>1020</v>
      </c>
    </row>
    <row r="582" spans="1:14" x14ac:dyDescent="0.25">
      <c r="A582" s="1" t="s">
        <v>591</v>
      </c>
      <c r="B582" s="1" t="s">
        <v>1151</v>
      </c>
      <c r="C582" s="1" t="s">
        <v>37</v>
      </c>
      <c r="D582">
        <v>353170</v>
      </c>
      <c r="E582">
        <v>35928</v>
      </c>
      <c r="F582">
        <v>38849</v>
      </c>
      <c r="G582">
        <v>14</v>
      </c>
      <c r="H582" s="4">
        <v>109.1</v>
      </c>
      <c r="I582" s="2">
        <v>0.92857142857142905</v>
      </c>
      <c r="J582">
        <v>2</v>
      </c>
      <c r="K582">
        <v>1</v>
      </c>
      <c r="L582">
        <v>91</v>
      </c>
      <c r="M582" s="1" t="s">
        <v>1021</v>
      </c>
      <c r="N582" s="1" t="s">
        <v>1015</v>
      </c>
    </row>
    <row r="583" spans="1:14" x14ac:dyDescent="0.25">
      <c r="A583" s="1" t="s">
        <v>592</v>
      </c>
      <c r="B583" s="1" t="s">
        <v>1346</v>
      </c>
      <c r="C583" s="1" t="s">
        <v>1117</v>
      </c>
      <c r="D583">
        <v>611230</v>
      </c>
      <c r="E583">
        <v>86279</v>
      </c>
      <c r="F583">
        <v>67235</v>
      </c>
      <c r="G583">
        <v>15</v>
      </c>
      <c r="H583" s="4">
        <v>114</v>
      </c>
      <c r="I583" s="2">
        <v>0.93333333333333302</v>
      </c>
      <c r="J583">
        <v>0</v>
      </c>
      <c r="K583">
        <v>0</v>
      </c>
      <c r="L583">
        <v>86</v>
      </c>
      <c r="M583" s="1" t="s">
        <v>1014</v>
      </c>
      <c r="N583" s="1" t="s">
        <v>1020</v>
      </c>
    </row>
    <row r="584" spans="1:14" x14ac:dyDescent="0.25">
      <c r="A584" s="1" t="s">
        <v>593</v>
      </c>
      <c r="B584" s="1" t="s">
        <v>1134</v>
      </c>
      <c r="C584" s="1" t="s">
        <v>37</v>
      </c>
      <c r="D584">
        <v>588782</v>
      </c>
      <c r="E584">
        <v>21219</v>
      </c>
      <c r="F584">
        <v>64766</v>
      </c>
      <c r="G584">
        <v>15</v>
      </c>
      <c r="H584" s="4">
        <v>101.99999999999999</v>
      </c>
      <c r="I584" s="2">
        <v>0.53333333333333299</v>
      </c>
      <c r="J584">
        <v>6</v>
      </c>
      <c r="K584">
        <v>1</v>
      </c>
      <c r="L584">
        <v>76</v>
      </c>
      <c r="M584" s="1" t="s">
        <v>1016</v>
      </c>
      <c r="N584" s="1" t="s">
        <v>1017</v>
      </c>
    </row>
    <row r="585" spans="1:14" x14ac:dyDescent="0.25">
      <c r="A585" s="1" t="s">
        <v>594</v>
      </c>
      <c r="B585" s="1" t="s">
        <v>1347</v>
      </c>
      <c r="C585" s="1" t="s">
        <v>27</v>
      </c>
      <c r="D585">
        <v>688293</v>
      </c>
      <c r="E585">
        <v>47322</v>
      </c>
      <c r="F585">
        <v>75712</v>
      </c>
      <c r="G585">
        <v>15</v>
      </c>
      <c r="H585" s="4">
        <v>103.2</v>
      </c>
      <c r="I585" s="2">
        <v>0.73333333333333295</v>
      </c>
      <c r="J585">
        <v>9</v>
      </c>
      <c r="K585">
        <v>1</v>
      </c>
      <c r="L585">
        <v>85</v>
      </c>
      <c r="M585" s="1" t="s">
        <v>1018</v>
      </c>
      <c r="N585" s="1" t="s">
        <v>1020</v>
      </c>
    </row>
    <row r="586" spans="1:14" x14ac:dyDescent="0.25">
      <c r="A586" s="1" t="s">
        <v>595</v>
      </c>
      <c r="B586" s="1" t="s">
        <v>1348</v>
      </c>
      <c r="C586" s="1" t="s">
        <v>1037</v>
      </c>
      <c r="D586">
        <v>832418</v>
      </c>
      <c r="E586">
        <v>67934</v>
      </c>
      <c r="F586">
        <v>91566</v>
      </c>
      <c r="G586">
        <v>15</v>
      </c>
      <c r="H586" s="4">
        <v>93.9</v>
      </c>
      <c r="I586" s="2">
        <v>0.66666666666666696</v>
      </c>
      <c r="J586">
        <v>6</v>
      </c>
      <c r="K586">
        <v>1</v>
      </c>
      <c r="L586">
        <v>83</v>
      </c>
      <c r="M586" s="1" t="s">
        <v>1014</v>
      </c>
      <c r="N586" s="1" t="s">
        <v>1020</v>
      </c>
    </row>
    <row r="587" spans="1:14" x14ac:dyDescent="0.25">
      <c r="A587" s="1" t="s">
        <v>596</v>
      </c>
      <c r="B587" s="1" t="s">
        <v>1349</v>
      </c>
      <c r="C587" s="1" t="s">
        <v>3</v>
      </c>
      <c r="D587">
        <v>468750</v>
      </c>
      <c r="E587">
        <v>5166</v>
      </c>
      <c r="F587">
        <v>51562</v>
      </c>
      <c r="G587">
        <v>15</v>
      </c>
      <c r="H587" s="4">
        <v>111.50000000000001</v>
      </c>
      <c r="I587" s="2">
        <v>0.8</v>
      </c>
      <c r="J587">
        <v>0</v>
      </c>
      <c r="K587">
        <v>0</v>
      </c>
      <c r="L587">
        <v>89</v>
      </c>
      <c r="M587" s="1" t="s">
        <v>1021</v>
      </c>
      <c r="N587" s="1" t="s">
        <v>1020</v>
      </c>
    </row>
    <row r="588" spans="1:14" x14ac:dyDescent="0.25">
      <c r="A588" s="1" t="s">
        <v>597</v>
      </c>
      <c r="B588" s="1" t="s">
        <v>1147</v>
      </c>
      <c r="C588" s="1" t="s">
        <v>7</v>
      </c>
      <c r="D588">
        <v>647980</v>
      </c>
      <c r="E588">
        <v>77353</v>
      </c>
      <c r="F588">
        <v>71278</v>
      </c>
      <c r="G588">
        <v>15</v>
      </c>
      <c r="H588" s="4">
        <v>87.2</v>
      </c>
      <c r="I588" s="2">
        <v>0.53333333333333299</v>
      </c>
      <c r="J588">
        <v>0</v>
      </c>
      <c r="K588">
        <v>0</v>
      </c>
      <c r="L588">
        <v>80</v>
      </c>
      <c r="M588" s="1" t="s">
        <v>1413</v>
      </c>
      <c r="N588" s="1" t="s">
        <v>1020</v>
      </c>
    </row>
    <row r="589" spans="1:14" x14ac:dyDescent="0.25">
      <c r="A589" s="1" t="s">
        <v>598</v>
      </c>
      <c r="B589" s="1" t="s">
        <v>1350</v>
      </c>
      <c r="C589" s="1" t="s">
        <v>5</v>
      </c>
      <c r="D589">
        <v>617820</v>
      </c>
      <c r="E589">
        <v>72485</v>
      </c>
      <c r="F589">
        <v>67960</v>
      </c>
      <c r="G589">
        <v>15</v>
      </c>
      <c r="H589" s="4">
        <v>103.19999999999999</v>
      </c>
      <c r="I589" s="2">
        <v>0.8</v>
      </c>
      <c r="J589">
        <v>6</v>
      </c>
      <c r="K589">
        <v>1</v>
      </c>
      <c r="L589">
        <v>84</v>
      </c>
      <c r="M589" s="1" t="s">
        <v>1021</v>
      </c>
      <c r="N589" s="1" t="s">
        <v>1020</v>
      </c>
    </row>
    <row r="590" spans="1:14" x14ac:dyDescent="0.25">
      <c r="A590" s="1" t="s">
        <v>599</v>
      </c>
      <c r="B590" s="1" t="s">
        <v>1346</v>
      </c>
      <c r="C590" s="1" t="s">
        <v>1117</v>
      </c>
      <c r="D590">
        <v>405935</v>
      </c>
      <c r="E590">
        <v>30376</v>
      </c>
      <c r="F590">
        <v>44653</v>
      </c>
      <c r="G590">
        <v>15</v>
      </c>
      <c r="H590" s="4">
        <v>90.4</v>
      </c>
      <c r="I590" s="2">
        <v>0.6</v>
      </c>
      <c r="J590">
        <v>21</v>
      </c>
      <c r="K590">
        <v>2</v>
      </c>
      <c r="L590">
        <v>94</v>
      </c>
      <c r="M590" s="1" t="s">
        <v>1014</v>
      </c>
      <c r="N590" s="1" t="s">
        <v>1015</v>
      </c>
    </row>
    <row r="591" spans="1:14" x14ac:dyDescent="0.25">
      <c r="A591" s="1" t="s">
        <v>600</v>
      </c>
      <c r="B591" s="1" t="s">
        <v>1251</v>
      </c>
      <c r="C591" s="1" t="s">
        <v>9</v>
      </c>
      <c r="D591">
        <v>410446</v>
      </c>
      <c r="E591">
        <v>78267</v>
      </c>
      <c r="F591">
        <v>45149</v>
      </c>
      <c r="G591">
        <v>15</v>
      </c>
      <c r="H591" s="4">
        <v>85.300000000000011</v>
      </c>
      <c r="I591" s="2">
        <v>0.53333333333333299</v>
      </c>
      <c r="J591">
        <v>0</v>
      </c>
      <c r="K591">
        <v>0</v>
      </c>
      <c r="L591">
        <v>56</v>
      </c>
      <c r="M591" s="1" t="s">
        <v>1018</v>
      </c>
      <c r="N591" s="1" t="s">
        <v>1019</v>
      </c>
    </row>
    <row r="592" spans="1:14" x14ac:dyDescent="0.25">
      <c r="A592" s="1" t="s">
        <v>601</v>
      </c>
      <c r="B592" s="1" t="s">
        <v>1042</v>
      </c>
      <c r="C592" s="1" t="s">
        <v>5</v>
      </c>
      <c r="D592">
        <v>710647</v>
      </c>
      <c r="E592">
        <v>23617</v>
      </c>
      <c r="F592">
        <v>78171</v>
      </c>
      <c r="G592">
        <v>15</v>
      </c>
      <c r="H592" s="4">
        <v>101.89999999999999</v>
      </c>
      <c r="I592" s="2">
        <v>0.73333333333333295</v>
      </c>
      <c r="J592">
        <v>17</v>
      </c>
      <c r="K592">
        <v>2</v>
      </c>
      <c r="L592">
        <v>75</v>
      </c>
      <c r="M592" s="1" t="s">
        <v>1413</v>
      </c>
      <c r="N592" s="1" t="s">
        <v>1017</v>
      </c>
    </row>
    <row r="593" spans="1:14" x14ac:dyDescent="0.25">
      <c r="A593" s="1" t="s">
        <v>602</v>
      </c>
      <c r="B593" s="1" t="s">
        <v>1027</v>
      </c>
      <c r="C593" s="1" t="s">
        <v>12</v>
      </c>
      <c r="D593">
        <v>456015</v>
      </c>
      <c r="E593">
        <v>23990</v>
      </c>
      <c r="F593">
        <v>50162</v>
      </c>
      <c r="G593">
        <v>15</v>
      </c>
      <c r="H593" s="4">
        <v>105.9</v>
      </c>
      <c r="I593" s="2">
        <v>0.8</v>
      </c>
      <c r="J593">
        <v>0</v>
      </c>
      <c r="K593">
        <v>0</v>
      </c>
      <c r="L593">
        <v>88</v>
      </c>
      <c r="M593" s="1" t="s">
        <v>1021</v>
      </c>
      <c r="N593" s="1" t="s">
        <v>1020</v>
      </c>
    </row>
    <row r="594" spans="1:14" x14ac:dyDescent="0.25">
      <c r="A594" s="1" t="s">
        <v>603</v>
      </c>
      <c r="B594" s="1" t="s">
        <v>1106</v>
      </c>
      <c r="C594" s="1" t="s">
        <v>1037</v>
      </c>
      <c r="D594">
        <v>766323</v>
      </c>
      <c r="E594">
        <v>58792</v>
      </c>
      <c r="F594">
        <v>84296</v>
      </c>
      <c r="G594">
        <v>15</v>
      </c>
      <c r="H594" s="4">
        <v>103.39999999999998</v>
      </c>
      <c r="I594" s="2">
        <v>0.66666666666666696</v>
      </c>
      <c r="J594">
        <v>0</v>
      </c>
      <c r="K594">
        <v>0</v>
      </c>
      <c r="L594">
        <v>61</v>
      </c>
      <c r="M594" s="1" t="s">
        <v>1413</v>
      </c>
      <c r="N594" s="1" t="s">
        <v>1019</v>
      </c>
    </row>
    <row r="595" spans="1:14" x14ac:dyDescent="0.25">
      <c r="A595" s="1" t="s">
        <v>604</v>
      </c>
      <c r="B595" s="1" t="s">
        <v>1042</v>
      </c>
      <c r="C595" s="1" t="s">
        <v>37</v>
      </c>
      <c r="D595">
        <v>764069</v>
      </c>
      <c r="E595">
        <v>23736</v>
      </c>
      <c r="F595">
        <v>84048</v>
      </c>
      <c r="G595">
        <v>15</v>
      </c>
      <c r="H595" s="4">
        <v>94.3</v>
      </c>
      <c r="I595" s="2">
        <v>0.73333333333333295</v>
      </c>
      <c r="J595">
        <v>21</v>
      </c>
      <c r="K595">
        <v>2</v>
      </c>
      <c r="L595">
        <v>67</v>
      </c>
      <c r="M595" s="1" t="s">
        <v>1014</v>
      </c>
      <c r="N595" s="1" t="s">
        <v>1019</v>
      </c>
    </row>
    <row r="596" spans="1:14" x14ac:dyDescent="0.25">
      <c r="A596" s="1" t="s">
        <v>605</v>
      </c>
      <c r="B596" s="1" t="s">
        <v>1233</v>
      </c>
      <c r="C596" s="1" t="s">
        <v>5</v>
      </c>
      <c r="D596">
        <v>762156</v>
      </c>
      <c r="E596">
        <v>4904</v>
      </c>
      <c r="F596">
        <v>83837</v>
      </c>
      <c r="G596">
        <v>15</v>
      </c>
      <c r="H596" s="4">
        <v>112.6</v>
      </c>
      <c r="I596" s="2">
        <v>0.93333333333333302</v>
      </c>
      <c r="J596">
        <v>0</v>
      </c>
      <c r="K596">
        <v>0</v>
      </c>
      <c r="L596">
        <v>91</v>
      </c>
      <c r="M596" s="1" t="s">
        <v>1018</v>
      </c>
      <c r="N596" s="1" t="s">
        <v>1015</v>
      </c>
    </row>
    <row r="597" spans="1:14" x14ac:dyDescent="0.25">
      <c r="A597" s="1" t="s">
        <v>606</v>
      </c>
      <c r="B597" s="1" t="s">
        <v>1351</v>
      </c>
      <c r="C597" s="1" t="s">
        <v>37</v>
      </c>
      <c r="D597">
        <v>250195</v>
      </c>
      <c r="E597">
        <v>68865</v>
      </c>
      <c r="F597">
        <v>27521</v>
      </c>
      <c r="G597">
        <v>15</v>
      </c>
      <c r="H597" s="4">
        <v>89.3</v>
      </c>
      <c r="I597" s="2">
        <v>0.66666666666666696</v>
      </c>
      <c r="J597">
        <v>8</v>
      </c>
      <c r="K597">
        <v>1</v>
      </c>
      <c r="L597">
        <v>70</v>
      </c>
      <c r="M597" s="1" t="s">
        <v>1018</v>
      </c>
      <c r="N597" s="1" t="s">
        <v>1017</v>
      </c>
    </row>
    <row r="598" spans="1:14" x14ac:dyDescent="0.25">
      <c r="A598" s="1" t="s">
        <v>607</v>
      </c>
      <c r="B598" s="1" t="s">
        <v>1288</v>
      </c>
      <c r="C598" s="1" t="s">
        <v>5</v>
      </c>
      <c r="D598">
        <v>394759</v>
      </c>
      <c r="E598">
        <v>21771</v>
      </c>
      <c r="F598">
        <v>43423</v>
      </c>
      <c r="G598">
        <v>15</v>
      </c>
      <c r="H598" s="4">
        <v>77.8</v>
      </c>
      <c r="I598" s="2">
        <v>0.6</v>
      </c>
      <c r="J598">
        <v>0</v>
      </c>
      <c r="K598">
        <v>0</v>
      </c>
      <c r="L598">
        <v>92</v>
      </c>
      <c r="M598" s="1" t="s">
        <v>1021</v>
      </c>
      <c r="N598" s="1" t="s">
        <v>1015</v>
      </c>
    </row>
    <row r="599" spans="1:14" x14ac:dyDescent="0.25">
      <c r="A599" s="1" t="s">
        <v>608</v>
      </c>
      <c r="B599" s="1" t="s">
        <v>1032</v>
      </c>
      <c r="C599" s="1" t="s">
        <v>27</v>
      </c>
      <c r="D599">
        <v>674252</v>
      </c>
      <c r="E599">
        <v>2191</v>
      </c>
      <c r="F599">
        <v>74168</v>
      </c>
      <c r="G599">
        <v>15</v>
      </c>
      <c r="H599" s="4">
        <v>94.399999999999991</v>
      </c>
      <c r="I599" s="2">
        <v>0.73333333333333295</v>
      </c>
      <c r="J599">
        <v>0</v>
      </c>
      <c r="K599">
        <v>0</v>
      </c>
      <c r="L599">
        <v>67</v>
      </c>
      <c r="M599" s="1" t="s">
        <v>1413</v>
      </c>
      <c r="N599" s="1" t="s">
        <v>1019</v>
      </c>
    </row>
    <row r="600" spans="1:14" x14ac:dyDescent="0.25">
      <c r="A600" s="1" t="s">
        <v>609</v>
      </c>
      <c r="B600" s="1" t="s">
        <v>1306</v>
      </c>
      <c r="C600" s="1" t="s">
        <v>7</v>
      </c>
      <c r="D600">
        <v>825957</v>
      </c>
      <c r="E600">
        <v>4483</v>
      </c>
      <c r="F600">
        <v>90855</v>
      </c>
      <c r="G600">
        <v>15</v>
      </c>
      <c r="H600" s="4">
        <v>100</v>
      </c>
      <c r="I600" s="2">
        <v>0.73333333333333295</v>
      </c>
      <c r="J600">
        <v>6</v>
      </c>
      <c r="K600">
        <v>1</v>
      </c>
      <c r="L600">
        <v>57</v>
      </c>
      <c r="M600" s="1" t="s">
        <v>1021</v>
      </c>
      <c r="N600" s="1" t="s">
        <v>1019</v>
      </c>
    </row>
    <row r="601" spans="1:14" x14ac:dyDescent="0.25">
      <c r="A601" s="1" t="s">
        <v>610</v>
      </c>
      <c r="B601" s="1" t="s">
        <v>1285</v>
      </c>
      <c r="C601" s="1" t="s">
        <v>27</v>
      </c>
      <c r="D601">
        <v>367672</v>
      </c>
      <c r="E601">
        <v>101</v>
      </c>
      <c r="G601">
        <v>15</v>
      </c>
      <c r="H601" s="4">
        <v>104</v>
      </c>
      <c r="I601" s="2">
        <v>0.66666666666666696</v>
      </c>
      <c r="J601">
        <v>0</v>
      </c>
      <c r="K601">
        <v>0</v>
      </c>
      <c r="L601">
        <v>76</v>
      </c>
      <c r="M601" s="1" t="s">
        <v>1018</v>
      </c>
      <c r="N601" s="1" t="s">
        <v>1017</v>
      </c>
    </row>
    <row r="602" spans="1:14" x14ac:dyDescent="0.25">
      <c r="A602" s="1" t="s">
        <v>611</v>
      </c>
      <c r="B602" s="1" t="s">
        <v>1352</v>
      </c>
      <c r="C602" s="1" t="s">
        <v>37</v>
      </c>
      <c r="D602">
        <v>324292</v>
      </c>
      <c r="E602">
        <v>14014</v>
      </c>
      <c r="F602">
        <v>35672</v>
      </c>
      <c r="G602">
        <v>15</v>
      </c>
      <c r="H602" s="4">
        <v>71.699999999999989</v>
      </c>
      <c r="I602" s="2">
        <v>0.6</v>
      </c>
      <c r="J602">
        <v>0</v>
      </c>
      <c r="K602">
        <v>0</v>
      </c>
      <c r="L602">
        <v>65</v>
      </c>
      <c r="M602" s="1" t="s">
        <v>1014</v>
      </c>
      <c r="N602" s="1" t="s">
        <v>1019</v>
      </c>
    </row>
    <row r="603" spans="1:14" x14ac:dyDescent="0.25">
      <c r="A603" s="1" t="s">
        <v>612</v>
      </c>
      <c r="B603" s="1" t="s">
        <v>1088</v>
      </c>
      <c r="C603" s="1" t="s">
        <v>3</v>
      </c>
      <c r="D603">
        <v>721679</v>
      </c>
      <c r="E603">
        <v>51898</v>
      </c>
      <c r="F603">
        <v>79385</v>
      </c>
      <c r="G603">
        <v>15</v>
      </c>
      <c r="H603" s="4">
        <v>103.89999999999999</v>
      </c>
      <c r="I603" s="2">
        <v>0.86666666666666703</v>
      </c>
      <c r="J603">
        <v>12</v>
      </c>
      <c r="K603">
        <v>1</v>
      </c>
      <c r="L603">
        <v>81</v>
      </c>
      <c r="M603" s="1" t="s">
        <v>1413</v>
      </c>
      <c r="N603" s="1" t="s">
        <v>1020</v>
      </c>
    </row>
    <row r="604" spans="1:14" x14ac:dyDescent="0.25">
      <c r="A604" s="1" t="s">
        <v>613</v>
      </c>
      <c r="B604" s="1" t="s">
        <v>1176</v>
      </c>
      <c r="C604" s="1" t="s">
        <v>1117</v>
      </c>
      <c r="D604">
        <v>655179</v>
      </c>
      <c r="E604">
        <v>82344</v>
      </c>
      <c r="F604">
        <v>72070</v>
      </c>
      <c r="G604">
        <v>15</v>
      </c>
      <c r="H604" s="4">
        <v>98.000000000000014</v>
      </c>
      <c r="I604" s="2">
        <v>0.66666666666666696</v>
      </c>
      <c r="J604">
        <v>0</v>
      </c>
      <c r="K604">
        <v>0</v>
      </c>
      <c r="L604">
        <v>97</v>
      </c>
      <c r="M604" s="1" t="s">
        <v>1018</v>
      </c>
      <c r="N604" s="1" t="s">
        <v>1015</v>
      </c>
    </row>
    <row r="605" spans="1:14" x14ac:dyDescent="0.25">
      <c r="A605" s="1" t="s">
        <v>614</v>
      </c>
      <c r="B605" s="1" t="s">
        <v>1294</v>
      </c>
      <c r="C605" s="1" t="s">
        <v>37</v>
      </c>
      <c r="D605">
        <v>638435</v>
      </c>
      <c r="E605">
        <v>20678</v>
      </c>
      <c r="F605">
        <v>70228</v>
      </c>
      <c r="G605">
        <v>14</v>
      </c>
      <c r="H605" s="4">
        <v>82.799999999999983</v>
      </c>
      <c r="I605" s="2">
        <v>0.71428571428571397</v>
      </c>
      <c r="J605">
        <v>0</v>
      </c>
      <c r="K605">
        <v>0</v>
      </c>
      <c r="L605">
        <v>61</v>
      </c>
      <c r="M605" s="1" t="s">
        <v>1021</v>
      </c>
      <c r="N605" s="1" t="s">
        <v>1019</v>
      </c>
    </row>
    <row r="606" spans="1:14" x14ac:dyDescent="0.25">
      <c r="A606" s="1" t="s">
        <v>615</v>
      </c>
      <c r="B606" s="1" t="s">
        <v>1353</v>
      </c>
      <c r="C606" s="1" t="s">
        <v>5</v>
      </c>
      <c r="D606">
        <v>574202</v>
      </c>
      <c r="E606">
        <v>40581</v>
      </c>
      <c r="F606">
        <v>63162</v>
      </c>
      <c r="G606">
        <v>15</v>
      </c>
      <c r="H606" s="4">
        <v>102.39999999999999</v>
      </c>
      <c r="I606" s="2">
        <v>0.86666666666666703</v>
      </c>
      <c r="J606">
        <v>0</v>
      </c>
      <c r="K606">
        <v>0</v>
      </c>
      <c r="L606">
        <v>84</v>
      </c>
      <c r="M606" s="1" t="s">
        <v>1018</v>
      </c>
      <c r="N606" s="1" t="s">
        <v>1020</v>
      </c>
    </row>
    <row r="607" spans="1:14" x14ac:dyDescent="0.25">
      <c r="A607" s="1" t="s">
        <v>616</v>
      </c>
      <c r="B607" s="1" t="s">
        <v>1161</v>
      </c>
      <c r="C607" s="1" t="s">
        <v>7</v>
      </c>
      <c r="D607">
        <v>563466</v>
      </c>
      <c r="E607">
        <v>15526</v>
      </c>
      <c r="F607">
        <v>61981</v>
      </c>
      <c r="G607">
        <v>15</v>
      </c>
      <c r="H607" s="4">
        <v>110.89999999999999</v>
      </c>
      <c r="I607" s="2">
        <v>0.8</v>
      </c>
      <c r="J607">
        <v>9</v>
      </c>
      <c r="K607">
        <v>2</v>
      </c>
      <c r="L607">
        <v>57</v>
      </c>
      <c r="M607" s="1" t="s">
        <v>1014</v>
      </c>
      <c r="N607" s="1" t="s">
        <v>1019</v>
      </c>
    </row>
    <row r="608" spans="1:14" x14ac:dyDescent="0.25">
      <c r="A608" s="1" t="s">
        <v>617</v>
      </c>
      <c r="B608" s="1" t="s">
        <v>1354</v>
      </c>
      <c r="C608" s="1" t="s">
        <v>5</v>
      </c>
      <c r="D608">
        <v>517251</v>
      </c>
      <c r="E608">
        <v>29683</v>
      </c>
      <c r="F608">
        <v>56898</v>
      </c>
      <c r="G608">
        <v>15</v>
      </c>
      <c r="H608" s="4">
        <v>96.90000000000002</v>
      </c>
      <c r="I608" s="2">
        <v>0.6</v>
      </c>
      <c r="J608">
        <v>0</v>
      </c>
      <c r="K608">
        <v>0</v>
      </c>
      <c r="L608">
        <v>98</v>
      </c>
      <c r="M608" s="1" t="s">
        <v>1021</v>
      </c>
      <c r="N608" s="1" t="s">
        <v>1015</v>
      </c>
    </row>
    <row r="609" spans="1:14" x14ac:dyDescent="0.25">
      <c r="A609" s="1" t="s">
        <v>618</v>
      </c>
      <c r="B609" s="1" t="s">
        <v>1090</v>
      </c>
      <c r="C609" s="1" t="s">
        <v>37</v>
      </c>
      <c r="D609">
        <v>271126</v>
      </c>
      <c r="E609">
        <v>65186</v>
      </c>
      <c r="F609">
        <v>29824</v>
      </c>
      <c r="G609">
        <v>15</v>
      </c>
      <c r="H609" s="4">
        <v>101.79999999999998</v>
      </c>
      <c r="I609" s="2">
        <v>0.73333333333333295</v>
      </c>
      <c r="J609">
        <v>13</v>
      </c>
      <c r="K609">
        <v>1</v>
      </c>
      <c r="L609">
        <v>82</v>
      </c>
      <c r="M609" s="1" t="s">
        <v>1021</v>
      </c>
      <c r="N609" s="1" t="s">
        <v>1020</v>
      </c>
    </row>
    <row r="610" spans="1:14" x14ac:dyDescent="0.25">
      <c r="A610" s="1" t="s">
        <v>619</v>
      </c>
      <c r="B610" s="1" t="s">
        <v>1270</v>
      </c>
      <c r="C610" s="1" t="s">
        <v>23</v>
      </c>
      <c r="D610">
        <v>803422</v>
      </c>
      <c r="E610">
        <v>53162</v>
      </c>
      <c r="F610">
        <v>88376</v>
      </c>
      <c r="G610">
        <v>15</v>
      </c>
      <c r="H610" s="4">
        <v>109.79999999999997</v>
      </c>
      <c r="I610" s="2">
        <v>0.8</v>
      </c>
      <c r="J610">
        <v>0</v>
      </c>
      <c r="K610">
        <v>0</v>
      </c>
      <c r="L610">
        <v>76</v>
      </c>
      <c r="M610" s="1" t="s">
        <v>1016</v>
      </c>
      <c r="N610" s="1" t="s">
        <v>1017</v>
      </c>
    </row>
    <row r="611" spans="1:14" x14ac:dyDescent="0.25">
      <c r="A611" s="1" t="s">
        <v>620</v>
      </c>
      <c r="B611" s="1" t="s">
        <v>1048</v>
      </c>
      <c r="C611" s="1" t="s">
        <v>23</v>
      </c>
      <c r="D611">
        <v>616263</v>
      </c>
      <c r="E611">
        <v>87727</v>
      </c>
      <c r="F611">
        <v>67789</v>
      </c>
      <c r="G611">
        <v>15</v>
      </c>
      <c r="H611" s="4">
        <v>65.7</v>
      </c>
      <c r="I611" s="2">
        <v>0.46666666666666701</v>
      </c>
      <c r="J611">
        <v>0</v>
      </c>
      <c r="K611">
        <v>0</v>
      </c>
      <c r="L611">
        <v>99</v>
      </c>
      <c r="M611" s="1" t="s">
        <v>1018</v>
      </c>
      <c r="N611" s="1" t="s">
        <v>1015</v>
      </c>
    </row>
    <row r="612" spans="1:14" x14ac:dyDescent="0.25">
      <c r="A612" s="1" t="s">
        <v>621</v>
      </c>
      <c r="B612" s="1" t="s">
        <v>1260</v>
      </c>
      <c r="C612" s="1" t="s">
        <v>5</v>
      </c>
      <c r="D612">
        <v>336611</v>
      </c>
      <c r="E612">
        <v>32054</v>
      </c>
      <c r="F612">
        <v>37027</v>
      </c>
      <c r="G612">
        <v>15</v>
      </c>
      <c r="H612" s="4">
        <v>106.99999999999999</v>
      </c>
      <c r="I612" s="2">
        <v>0.86666666666666703</v>
      </c>
      <c r="J612">
        <v>0</v>
      </c>
      <c r="K612">
        <v>0</v>
      </c>
      <c r="L612">
        <v>100</v>
      </c>
      <c r="M612" s="1" t="s">
        <v>1413</v>
      </c>
      <c r="N612" s="1" t="s">
        <v>1015</v>
      </c>
    </row>
    <row r="613" spans="1:14" x14ac:dyDescent="0.25">
      <c r="A613" s="1" t="s">
        <v>622</v>
      </c>
      <c r="B613" s="1" t="s">
        <v>1152</v>
      </c>
      <c r="C613" s="1" t="s">
        <v>23</v>
      </c>
      <c r="D613">
        <v>813563</v>
      </c>
      <c r="E613">
        <v>75270</v>
      </c>
      <c r="F613">
        <v>89492</v>
      </c>
      <c r="G613">
        <v>15</v>
      </c>
      <c r="H613" s="4">
        <v>99.40000000000002</v>
      </c>
      <c r="I613" s="2">
        <v>0.66666666666666696</v>
      </c>
      <c r="J613">
        <v>0</v>
      </c>
      <c r="K613">
        <v>0</v>
      </c>
      <c r="L613">
        <v>59</v>
      </c>
      <c r="M613" s="1" t="s">
        <v>1021</v>
      </c>
      <c r="N613" s="1" t="s">
        <v>1019</v>
      </c>
    </row>
    <row r="614" spans="1:14" x14ac:dyDescent="0.25">
      <c r="A614" s="1" t="s">
        <v>623</v>
      </c>
      <c r="B614" s="1" t="s">
        <v>1252</v>
      </c>
      <c r="C614" s="1" t="s">
        <v>52</v>
      </c>
      <c r="D614">
        <v>680980</v>
      </c>
      <c r="E614">
        <v>19181</v>
      </c>
      <c r="F614">
        <v>74908</v>
      </c>
      <c r="G614">
        <v>15</v>
      </c>
      <c r="H614" s="4">
        <v>123.1</v>
      </c>
      <c r="I614" s="2">
        <v>0.8</v>
      </c>
      <c r="J614">
        <v>13</v>
      </c>
      <c r="K614">
        <v>1</v>
      </c>
      <c r="L614">
        <v>62</v>
      </c>
      <c r="M614" s="1" t="s">
        <v>1016</v>
      </c>
      <c r="N614" s="1" t="s">
        <v>1019</v>
      </c>
    </row>
    <row r="615" spans="1:14" x14ac:dyDescent="0.25">
      <c r="A615" s="1" t="s">
        <v>624</v>
      </c>
      <c r="B615" s="1" t="s">
        <v>1355</v>
      </c>
      <c r="C615" s="1" t="s">
        <v>37</v>
      </c>
      <c r="D615">
        <v>329002</v>
      </c>
      <c r="E615">
        <v>54938</v>
      </c>
      <c r="F615">
        <v>36190</v>
      </c>
      <c r="G615">
        <v>15</v>
      </c>
      <c r="H615" s="4">
        <v>93.9</v>
      </c>
      <c r="I615" s="2">
        <v>0.66666666666666696</v>
      </c>
      <c r="J615">
        <v>6</v>
      </c>
      <c r="K615">
        <v>1</v>
      </c>
      <c r="L615">
        <v>82</v>
      </c>
      <c r="M615" s="1" t="s">
        <v>1413</v>
      </c>
      <c r="N615" s="1" t="s">
        <v>1020</v>
      </c>
    </row>
    <row r="616" spans="1:14" x14ac:dyDescent="0.25">
      <c r="A616" s="1" t="s">
        <v>625</v>
      </c>
      <c r="B616" s="1" t="s">
        <v>1302</v>
      </c>
      <c r="C616" s="1" t="s">
        <v>9</v>
      </c>
      <c r="D616">
        <v>352502</v>
      </c>
      <c r="E616">
        <v>44195</v>
      </c>
      <c r="F616">
        <v>38775</v>
      </c>
      <c r="G616">
        <v>15</v>
      </c>
      <c r="H616" s="4">
        <v>112.50000000000001</v>
      </c>
      <c r="I616" s="2">
        <v>0.93333333333333302</v>
      </c>
      <c r="J616">
        <v>21</v>
      </c>
      <c r="K616">
        <v>2</v>
      </c>
      <c r="L616">
        <v>71</v>
      </c>
      <c r="M616" s="1" t="s">
        <v>1016</v>
      </c>
      <c r="N616" s="1" t="s">
        <v>1017</v>
      </c>
    </row>
    <row r="617" spans="1:14" x14ac:dyDescent="0.25">
      <c r="A617" s="1" t="s">
        <v>626</v>
      </c>
      <c r="B617" s="1" t="s">
        <v>1214</v>
      </c>
      <c r="C617" s="1" t="s">
        <v>7</v>
      </c>
      <c r="D617">
        <v>520860</v>
      </c>
      <c r="E617">
        <v>71681</v>
      </c>
      <c r="F617">
        <v>57295</v>
      </c>
      <c r="G617">
        <v>14</v>
      </c>
      <c r="H617" s="4">
        <v>81.399999999999991</v>
      </c>
      <c r="I617" s="2">
        <v>0.64285714285714302</v>
      </c>
      <c r="J617">
        <v>0</v>
      </c>
      <c r="K617">
        <v>0</v>
      </c>
      <c r="L617">
        <v>83</v>
      </c>
      <c r="M617" s="1" t="s">
        <v>1016</v>
      </c>
      <c r="N617" s="1" t="s">
        <v>1020</v>
      </c>
    </row>
    <row r="618" spans="1:14" x14ac:dyDescent="0.25">
      <c r="A618" s="1" t="s">
        <v>627</v>
      </c>
      <c r="B618" s="1" t="s">
        <v>1177</v>
      </c>
      <c r="C618" s="1" t="s">
        <v>23</v>
      </c>
      <c r="D618">
        <v>377222</v>
      </c>
      <c r="E618">
        <v>72488</v>
      </c>
      <c r="F618">
        <v>41494</v>
      </c>
      <c r="G618">
        <v>15</v>
      </c>
      <c r="H618" s="4">
        <v>95.8</v>
      </c>
      <c r="I618" s="2">
        <v>0.8</v>
      </c>
      <c r="J618">
        <v>0</v>
      </c>
      <c r="K618">
        <v>0</v>
      </c>
      <c r="L618">
        <v>76</v>
      </c>
      <c r="M618" s="1" t="s">
        <v>1413</v>
      </c>
      <c r="N618" s="1" t="s">
        <v>1017</v>
      </c>
    </row>
    <row r="619" spans="1:14" x14ac:dyDescent="0.25">
      <c r="A619" s="1" t="s">
        <v>628</v>
      </c>
      <c r="B619" s="1" t="s">
        <v>1153</v>
      </c>
      <c r="C619" s="1" t="s">
        <v>27</v>
      </c>
      <c r="D619">
        <v>376505</v>
      </c>
      <c r="E619">
        <v>30823</v>
      </c>
      <c r="F619">
        <v>41416</v>
      </c>
      <c r="G619">
        <v>15</v>
      </c>
      <c r="H619" s="4">
        <v>113.39999999999999</v>
      </c>
      <c r="I619" s="2">
        <v>0.8</v>
      </c>
      <c r="J619">
        <v>0</v>
      </c>
      <c r="K619">
        <v>0</v>
      </c>
      <c r="L619">
        <v>64</v>
      </c>
      <c r="M619" s="1" t="s">
        <v>1014</v>
      </c>
      <c r="N619" s="1" t="s">
        <v>1019</v>
      </c>
    </row>
    <row r="620" spans="1:14" x14ac:dyDescent="0.25">
      <c r="A620" s="1" t="s">
        <v>629</v>
      </c>
      <c r="B620" s="1" t="s">
        <v>1061</v>
      </c>
      <c r="C620" s="1" t="s">
        <v>37</v>
      </c>
      <c r="D620">
        <v>676771</v>
      </c>
      <c r="E620">
        <v>40330</v>
      </c>
      <c r="F620">
        <v>74445</v>
      </c>
      <c r="G620">
        <v>14</v>
      </c>
      <c r="H620" s="4">
        <v>96.5</v>
      </c>
      <c r="I620" s="2">
        <v>0.71428571428571397</v>
      </c>
      <c r="J620">
        <v>0</v>
      </c>
      <c r="K620">
        <v>0</v>
      </c>
      <c r="L620">
        <v>85</v>
      </c>
      <c r="M620" s="1" t="s">
        <v>1014</v>
      </c>
      <c r="N620" s="1" t="s">
        <v>1020</v>
      </c>
    </row>
    <row r="621" spans="1:14" x14ac:dyDescent="0.25">
      <c r="A621" s="1" t="s">
        <v>630</v>
      </c>
      <c r="B621" s="1" t="s">
        <v>1356</v>
      </c>
      <c r="C621" s="1" t="s">
        <v>27</v>
      </c>
      <c r="D621">
        <v>368039</v>
      </c>
      <c r="E621">
        <v>39222</v>
      </c>
      <c r="G621">
        <v>15</v>
      </c>
      <c r="H621" s="4">
        <v>120.5</v>
      </c>
      <c r="I621" s="2">
        <v>0.86666666666666703</v>
      </c>
      <c r="J621">
        <v>0</v>
      </c>
      <c r="K621">
        <v>0</v>
      </c>
      <c r="L621">
        <v>88</v>
      </c>
      <c r="M621" s="1" t="s">
        <v>1018</v>
      </c>
      <c r="N621" s="1" t="s">
        <v>1020</v>
      </c>
    </row>
    <row r="622" spans="1:14" x14ac:dyDescent="0.25">
      <c r="A622" s="1" t="s">
        <v>631</v>
      </c>
      <c r="B622" s="1" t="s">
        <v>1071</v>
      </c>
      <c r="C622" s="1" t="s">
        <v>12</v>
      </c>
      <c r="D622">
        <v>700274</v>
      </c>
      <c r="E622">
        <v>64952</v>
      </c>
      <c r="F622">
        <v>77030</v>
      </c>
      <c r="G622">
        <v>15</v>
      </c>
      <c r="H622" s="4">
        <v>112.2</v>
      </c>
      <c r="I622" s="2">
        <v>0.8</v>
      </c>
      <c r="J622">
        <v>6</v>
      </c>
      <c r="K622">
        <v>1</v>
      </c>
      <c r="L622">
        <v>56</v>
      </c>
      <c r="M622" s="1" t="s">
        <v>1016</v>
      </c>
      <c r="N622" s="1" t="s">
        <v>1019</v>
      </c>
    </row>
    <row r="623" spans="1:14" x14ac:dyDescent="0.25">
      <c r="A623" s="1" t="s">
        <v>632</v>
      </c>
      <c r="B623" s="1" t="s">
        <v>1254</v>
      </c>
      <c r="C623" s="1" t="s">
        <v>5</v>
      </c>
      <c r="D623">
        <v>460140</v>
      </c>
      <c r="E623">
        <v>42370</v>
      </c>
      <c r="F623">
        <v>50615</v>
      </c>
      <c r="G623">
        <v>15</v>
      </c>
      <c r="H623" s="4">
        <v>94.300000000000011</v>
      </c>
      <c r="I623" s="2">
        <v>0.66666666666666696</v>
      </c>
      <c r="J623">
        <v>0</v>
      </c>
      <c r="K623">
        <v>0</v>
      </c>
      <c r="L623">
        <v>76</v>
      </c>
      <c r="M623" s="1" t="s">
        <v>1018</v>
      </c>
      <c r="N623" s="1" t="s">
        <v>1017</v>
      </c>
    </row>
    <row r="624" spans="1:14" x14ac:dyDescent="0.25">
      <c r="A624" s="1" t="s">
        <v>633</v>
      </c>
      <c r="B624" s="1" t="s">
        <v>1324</v>
      </c>
      <c r="C624" s="1" t="s">
        <v>37</v>
      </c>
      <c r="D624">
        <v>458703</v>
      </c>
      <c r="E624">
        <v>46327</v>
      </c>
      <c r="F624">
        <v>50457</v>
      </c>
      <c r="G624">
        <v>15</v>
      </c>
      <c r="H624" s="4">
        <v>90.3</v>
      </c>
      <c r="I624" s="2">
        <v>0.53333333333333299</v>
      </c>
      <c r="J624">
        <v>6</v>
      </c>
      <c r="K624">
        <v>1</v>
      </c>
      <c r="L624">
        <v>70</v>
      </c>
      <c r="M624" s="1" t="s">
        <v>1018</v>
      </c>
      <c r="N624" s="1" t="s">
        <v>1017</v>
      </c>
    </row>
    <row r="625" spans="1:14" x14ac:dyDescent="0.25">
      <c r="A625" s="1" t="s">
        <v>634</v>
      </c>
      <c r="B625" s="1" t="s">
        <v>1306</v>
      </c>
      <c r="C625" s="1" t="s">
        <v>12</v>
      </c>
      <c r="D625">
        <v>763305</v>
      </c>
      <c r="E625">
        <v>77561</v>
      </c>
      <c r="F625">
        <v>83964</v>
      </c>
      <c r="G625">
        <v>15</v>
      </c>
      <c r="H625" s="4">
        <v>93.59999999999998</v>
      </c>
      <c r="I625" s="2">
        <v>0.73333333333333295</v>
      </c>
      <c r="J625">
        <v>13</v>
      </c>
      <c r="K625">
        <v>1</v>
      </c>
      <c r="L625">
        <v>56</v>
      </c>
      <c r="M625" s="1" t="s">
        <v>1018</v>
      </c>
      <c r="N625" s="1" t="s">
        <v>1019</v>
      </c>
    </row>
    <row r="626" spans="1:14" x14ac:dyDescent="0.25">
      <c r="A626" s="1" t="s">
        <v>635</v>
      </c>
      <c r="B626" s="1" t="s">
        <v>1261</v>
      </c>
      <c r="C626" s="1" t="s">
        <v>12</v>
      </c>
      <c r="D626">
        <v>319261</v>
      </c>
      <c r="E626">
        <v>47202</v>
      </c>
      <c r="F626">
        <v>35119</v>
      </c>
      <c r="G626">
        <v>15</v>
      </c>
      <c r="H626" s="4">
        <v>71</v>
      </c>
      <c r="I626" s="2">
        <v>0.46666666666666701</v>
      </c>
      <c r="J626">
        <v>0</v>
      </c>
      <c r="K626">
        <v>0</v>
      </c>
      <c r="L626">
        <v>71</v>
      </c>
      <c r="M626" s="1" t="s">
        <v>1018</v>
      </c>
      <c r="N626" s="1" t="s">
        <v>1017</v>
      </c>
    </row>
    <row r="627" spans="1:14" x14ac:dyDescent="0.25">
      <c r="A627" s="1" t="s">
        <v>636</v>
      </c>
      <c r="B627" s="1" t="s">
        <v>1357</v>
      </c>
      <c r="C627" s="1" t="s">
        <v>23</v>
      </c>
      <c r="D627">
        <v>576736</v>
      </c>
      <c r="E627">
        <v>45988</v>
      </c>
      <c r="F627">
        <v>63441</v>
      </c>
      <c r="G627">
        <v>15</v>
      </c>
      <c r="H627" s="4">
        <v>88.9</v>
      </c>
      <c r="I627" s="2">
        <v>0.6</v>
      </c>
      <c r="J627">
        <v>0</v>
      </c>
      <c r="K627">
        <v>0</v>
      </c>
      <c r="L627">
        <v>75</v>
      </c>
      <c r="M627" s="1" t="s">
        <v>1016</v>
      </c>
      <c r="N627" s="1" t="s">
        <v>1017</v>
      </c>
    </row>
    <row r="628" spans="1:14" x14ac:dyDescent="0.25">
      <c r="A628" s="1" t="s">
        <v>637</v>
      </c>
      <c r="B628" s="1" t="s">
        <v>1358</v>
      </c>
      <c r="C628" s="1" t="s">
        <v>9</v>
      </c>
      <c r="D628">
        <v>378637</v>
      </c>
      <c r="E628">
        <v>51872</v>
      </c>
      <c r="F628">
        <v>41650</v>
      </c>
      <c r="G628">
        <v>15</v>
      </c>
      <c r="H628" s="4">
        <v>103.5</v>
      </c>
      <c r="I628" s="2">
        <v>0.6</v>
      </c>
      <c r="J628">
        <v>0</v>
      </c>
      <c r="K628">
        <v>0</v>
      </c>
      <c r="L628">
        <v>85</v>
      </c>
      <c r="M628" s="1" t="s">
        <v>1016</v>
      </c>
      <c r="N628" s="1" t="s">
        <v>1020</v>
      </c>
    </row>
    <row r="629" spans="1:14" x14ac:dyDescent="0.25">
      <c r="A629" s="1" t="s">
        <v>638</v>
      </c>
      <c r="B629" s="1" t="s">
        <v>1154</v>
      </c>
      <c r="C629" s="1" t="s">
        <v>1037</v>
      </c>
      <c r="D629">
        <v>795851</v>
      </c>
      <c r="E629">
        <v>8377</v>
      </c>
      <c r="F629">
        <v>87544</v>
      </c>
      <c r="G629">
        <v>14</v>
      </c>
      <c r="H629" s="4">
        <v>82.1</v>
      </c>
      <c r="I629" s="2">
        <v>0.71428571428571397</v>
      </c>
      <c r="J629">
        <v>0</v>
      </c>
      <c r="K629">
        <v>0</v>
      </c>
      <c r="L629">
        <v>66</v>
      </c>
      <c r="M629" s="1" t="s">
        <v>1016</v>
      </c>
      <c r="N629" s="1" t="s">
        <v>1019</v>
      </c>
    </row>
    <row r="630" spans="1:14" x14ac:dyDescent="0.25">
      <c r="A630" s="1" t="s">
        <v>639</v>
      </c>
      <c r="B630" s="1" t="s">
        <v>1274</v>
      </c>
      <c r="C630" s="1" t="s">
        <v>5</v>
      </c>
      <c r="D630">
        <v>429315</v>
      </c>
      <c r="E630">
        <v>462</v>
      </c>
      <c r="F630">
        <v>47225</v>
      </c>
      <c r="G630">
        <v>15</v>
      </c>
      <c r="H630" s="4">
        <v>104.10000000000001</v>
      </c>
      <c r="I630" s="2">
        <v>0.73333333333333295</v>
      </c>
      <c r="J630">
        <v>9</v>
      </c>
      <c r="K630">
        <v>1</v>
      </c>
      <c r="L630">
        <v>67</v>
      </c>
      <c r="M630" s="1" t="s">
        <v>1014</v>
      </c>
      <c r="N630" s="1" t="s">
        <v>1019</v>
      </c>
    </row>
    <row r="631" spans="1:14" x14ac:dyDescent="0.25">
      <c r="A631" s="1" t="s">
        <v>640</v>
      </c>
      <c r="B631" s="1" t="s">
        <v>1356</v>
      </c>
      <c r="C631" s="1" t="s">
        <v>5</v>
      </c>
      <c r="D631">
        <v>565352</v>
      </c>
      <c r="E631">
        <v>84431</v>
      </c>
      <c r="F631">
        <v>62189</v>
      </c>
      <c r="G631">
        <v>15</v>
      </c>
      <c r="H631" s="4">
        <v>94.59999999999998</v>
      </c>
      <c r="I631" s="2">
        <v>0.6</v>
      </c>
      <c r="J631">
        <v>7</v>
      </c>
      <c r="K631">
        <v>1</v>
      </c>
      <c r="L631">
        <v>92</v>
      </c>
      <c r="M631" s="1" t="s">
        <v>1018</v>
      </c>
      <c r="N631" s="1" t="s">
        <v>1015</v>
      </c>
    </row>
    <row r="632" spans="1:14" x14ac:dyDescent="0.25">
      <c r="A632" s="1" t="s">
        <v>641</v>
      </c>
      <c r="B632" s="1" t="s">
        <v>1359</v>
      </c>
      <c r="C632" s="1" t="s">
        <v>5</v>
      </c>
      <c r="D632">
        <v>231176</v>
      </c>
      <c r="E632">
        <v>118</v>
      </c>
      <c r="F632">
        <v>25429</v>
      </c>
      <c r="G632">
        <v>15</v>
      </c>
      <c r="H632" s="4">
        <v>109.6</v>
      </c>
      <c r="I632" s="2">
        <v>0.8</v>
      </c>
      <c r="J632">
        <v>0</v>
      </c>
      <c r="K632">
        <v>0</v>
      </c>
      <c r="L632">
        <v>59</v>
      </c>
      <c r="M632" s="1" t="s">
        <v>1016</v>
      </c>
      <c r="N632" s="1" t="s">
        <v>1019</v>
      </c>
    </row>
    <row r="633" spans="1:14" x14ac:dyDescent="0.25">
      <c r="A633" s="1" t="s">
        <v>642</v>
      </c>
      <c r="B633" s="1" t="s">
        <v>1211</v>
      </c>
      <c r="C633" s="1" t="s">
        <v>27</v>
      </c>
      <c r="D633">
        <v>226023</v>
      </c>
      <c r="E633">
        <v>29546</v>
      </c>
      <c r="F633">
        <v>24863</v>
      </c>
      <c r="G633">
        <v>15</v>
      </c>
      <c r="H633" s="4">
        <v>91.399999999999991</v>
      </c>
      <c r="I633" s="2">
        <v>0.66666666666666696</v>
      </c>
      <c r="J633">
        <v>0</v>
      </c>
      <c r="K633">
        <v>0</v>
      </c>
      <c r="L633">
        <v>89</v>
      </c>
      <c r="M633" s="1" t="s">
        <v>1018</v>
      </c>
      <c r="N633" s="1" t="s">
        <v>1020</v>
      </c>
    </row>
    <row r="634" spans="1:14" x14ac:dyDescent="0.25">
      <c r="A634" s="1" t="s">
        <v>643</v>
      </c>
      <c r="B634" s="1" t="s">
        <v>1080</v>
      </c>
      <c r="C634" s="1" t="s">
        <v>5</v>
      </c>
      <c r="D634">
        <v>273995</v>
      </c>
      <c r="E634">
        <v>64734</v>
      </c>
      <c r="F634">
        <v>30139</v>
      </c>
      <c r="G634">
        <v>15</v>
      </c>
      <c r="H634" s="4">
        <v>106.6</v>
      </c>
      <c r="I634" s="2">
        <v>0.66666666666666696</v>
      </c>
      <c r="J634">
        <v>4</v>
      </c>
      <c r="K634">
        <v>1</v>
      </c>
      <c r="L634">
        <v>58</v>
      </c>
      <c r="M634" s="1" t="s">
        <v>1021</v>
      </c>
      <c r="N634" s="1" t="s">
        <v>1019</v>
      </c>
    </row>
    <row r="635" spans="1:14" x14ac:dyDescent="0.25">
      <c r="A635" s="1" t="s">
        <v>644</v>
      </c>
      <c r="B635" s="1" t="s">
        <v>1360</v>
      </c>
      <c r="C635" s="1" t="s">
        <v>27</v>
      </c>
      <c r="D635">
        <v>272481</v>
      </c>
      <c r="E635">
        <v>40052</v>
      </c>
      <c r="F635">
        <v>29973</v>
      </c>
      <c r="G635">
        <v>15</v>
      </c>
      <c r="H635" s="4">
        <v>112.7</v>
      </c>
      <c r="I635" s="2">
        <v>0.86666666666666703</v>
      </c>
      <c r="J635">
        <v>0</v>
      </c>
      <c r="K635">
        <v>0</v>
      </c>
      <c r="L635">
        <v>67</v>
      </c>
      <c r="M635" s="1" t="s">
        <v>1018</v>
      </c>
      <c r="N635" s="1" t="s">
        <v>1019</v>
      </c>
    </row>
    <row r="636" spans="1:14" x14ac:dyDescent="0.25">
      <c r="A636" s="1" t="s">
        <v>645</v>
      </c>
      <c r="B636" s="1" t="s">
        <v>1239</v>
      </c>
      <c r="C636" s="1" t="s">
        <v>3</v>
      </c>
      <c r="D636">
        <v>635490</v>
      </c>
      <c r="E636">
        <v>28045</v>
      </c>
      <c r="F636">
        <v>69904</v>
      </c>
      <c r="G636">
        <v>15</v>
      </c>
      <c r="H636" s="4">
        <v>102.4</v>
      </c>
      <c r="I636" s="2">
        <v>0.8</v>
      </c>
      <c r="J636">
        <v>12</v>
      </c>
      <c r="K636">
        <v>1</v>
      </c>
      <c r="L636">
        <v>97</v>
      </c>
      <c r="M636" s="1" t="s">
        <v>1014</v>
      </c>
      <c r="N636" s="1" t="s">
        <v>1015</v>
      </c>
    </row>
    <row r="637" spans="1:14" x14ac:dyDescent="0.25">
      <c r="A637" s="1" t="s">
        <v>646</v>
      </c>
      <c r="B637" s="1" t="s">
        <v>1041</v>
      </c>
      <c r="C637" s="1" t="s">
        <v>3</v>
      </c>
      <c r="D637">
        <v>748433</v>
      </c>
      <c r="E637">
        <v>17514</v>
      </c>
      <c r="F637">
        <v>82328</v>
      </c>
      <c r="G637">
        <v>15</v>
      </c>
      <c r="H637" s="4">
        <v>88.2</v>
      </c>
      <c r="I637" s="2">
        <v>0.73333333333333295</v>
      </c>
      <c r="J637">
        <v>11</v>
      </c>
      <c r="K637">
        <v>1</v>
      </c>
      <c r="L637">
        <v>94</v>
      </c>
      <c r="M637" s="1" t="s">
        <v>1021</v>
      </c>
      <c r="N637" s="1" t="s">
        <v>1015</v>
      </c>
    </row>
    <row r="638" spans="1:14" x14ac:dyDescent="0.25">
      <c r="A638" s="1" t="s">
        <v>647</v>
      </c>
      <c r="B638" s="1" t="s">
        <v>1361</v>
      </c>
      <c r="C638" s="1" t="s">
        <v>27</v>
      </c>
      <c r="D638">
        <v>696396</v>
      </c>
      <c r="E638">
        <v>14758</v>
      </c>
      <c r="F638">
        <v>76604</v>
      </c>
      <c r="G638">
        <v>15</v>
      </c>
      <c r="H638" s="4">
        <v>97.4</v>
      </c>
      <c r="I638" s="2">
        <v>0.73333333333333295</v>
      </c>
      <c r="J638">
        <v>0</v>
      </c>
      <c r="K638">
        <v>0</v>
      </c>
      <c r="L638">
        <v>99</v>
      </c>
      <c r="M638" s="1" t="s">
        <v>1413</v>
      </c>
      <c r="N638" s="1" t="s">
        <v>1015</v>
      </c>
    </row>
    <row r="639" spans="1:14" x14ac:dyDescent="0.25">
      <c r="A639" s="1" t="s">
        <v>648</v>
      </c>
      <c r="B639" s="1" t="s">
        <v>1362</v>
      </c>
      <c r="C639" s="1" t="s">
        <v>37</v>
      </c>
      <c r="D639">
        <v>461453</v>
      </c>
      <c r="E639">
        <v>47981</v>
      </c>
      <c r="F639">
        <v>50760</v>
      </c>
      <c r="G639">
        <v>15</v>
      </c>
      <c r="H639" s="4">
        <v>105.3</v>
      </c>
      <c r="I639" s="2">
        <v>0.8</v>
      </c>
      <c r="J639">
        <v>12</v>
      </c>
      <c r="K639">
        <v>1</v>
      </c>
      <c r="L639">
        <v>93</v>
      </c>
      <c r="M639" s="1" t="s">
        <v>1018</v>
      </c>
      <c r="N639" s="1" t="s">
        <v>1015</v>
      </c>
    </row>
    <row r="640" spans="1:14" x14ac:dyDescent="0.25">
      <c r="A640" s="1" t="s">
        <v>649</v>
      </c>
      <c r="B640" s="1" t="s">
        <v>1097</v>
      </c>
      <c r="C640" s="1" t="s">
        <v>52</v>
      </c>
      <c r="D640">
        <v>569166</v>
      </c>
      <c r="E640">
        <v>106</v>
      </c>
      <c r="F640">
        <v>62608</v>
      </c>
      <c r="G640">
        <v>15</v>
      </c>
      <c r="H640" s="4">
        <v>115.39999999999999</v>
      </c>
      <c r="I640" s="2">
        <v>0.86666666666666703</v>
      </c>
      <c r="J640">
        <v>2</v>
      </c>
      <c r="K640">
        <v>1</v>
      </c>
      <c r="L640">
        <v>82</v>
      </c>
      <c r="M640" s="1" t="s">
        <v>1413</v>
      </c>
      <c r="N640" s="1" t="s">
        <v>1020</v>
      </c>
    </row>
    <row r="641" spans="1:14" x14ac:dyDescent="0.25">
      <c r="A641" s="1" t="s">
        <v>650</v>
      </c>
      <c r="B641" s="1" t="s">
        <v>1202</v>
      </c>
      <c r="C641" s="1" t="s">
        <v>3</v>
      </c>
      <c r="D641">
        <v>242577</v>
      </c>
      <c r="E641">
        <v>15240</v>
      </c>
      <c r="F641">
        <v>26683</v>
      </c>
      <c r="G641">
        <v>15</v>
      </c>
      <c r="H641" s="4">
        <v>121.29999999999997</v>
      </c>
      <c r="I641" s="2">
        <v>0.93333333333333302</v>
      </c>
      <c r="J641">
        <v>5</v>
      </c>
      <c r="K641">
        <v>1</v>
      </c>
      <c r="L641">
        <v>85</v>
      </c>
      <c r="M641" s="1" t="s">
        <v>1014</v>
      </c>
      <c r="N641" s="1" t="s">
        <v>1020</v>
      </c>
    </row>
    <row r="642" spans="1:14" x14ac:dyDescent="0.25">
      <c r="A642" s="1" t="s">
        <v>651</v>
      </c>
      <c r="B642" s="1" t="s">
        <v>1035</v>
      </c>
      <c r="C642" s="1" t="s">
        <v>5</v>
      </c>
      <c r="D642">
        <v>793417</v>
      </c>
      <c r="E642">
        <v>53799</v>
      </c>
      <c r="F642">
        <v>87276</v>
      </c>
      <c r="G642">
        <v>15</v>
      </c>
      <c r="H642" s="4">
        <v>102.80000000000001</v>
      </c>
      <c r="I642" s="2">
        <v>0.8</v>
      </c>
      <c r="J642">
        <v>18</v>
      </c>
      <c r="K642">
        <v>2</v>
      </c>
      <c r="L642">
        <v>81</v>
      </c>
      <c r="M642" s="1" t="s">
        <v>1014</v>
      </c>
      <c r="N642" s="1" t="s">
        <v>1020</v>
      </c>
    </row>
    <row r="643" spans="1:14" x14ac:dyDescent="0.25">
      <c r="A643" s="1" t="s">
        <v>652</v>
      </c>
      <c r="B643" s="1" t="s">
        <v>1126</v>
      </c>
      <c r="C643" s="1" t="s">
        <v>9</v>
      </c>
      <c r="D643">
        <v>797981</v>
      </c>
      <c r="E643">
        <v>25218</v>
      </c>
      <c r="F643">
        <v>87778</v>
      </c>
      <c r="G643">
        <v>15</v>
      </c>
      <c r="H643" s="4">
        <v>98</v>
      </c>
      <c r="I643" s="2">
        <v>0.73333333333333295</v>
      </c>
      <c r="J643">
        <v>0</v>
      </c>
      <c r="K643">
        <v>0</v>
      </c>
      <c r="L643">
        <v>71</v>
      </c>
      <c r="M643" s="1" t="s">
        <v>1014</v>
      </c>
      <c r="N643" s="1" t="s">
        <v>1017</v>
      </c>
    </row>
    <row r="644" spans="1:14" x14ac:dyDescent="0.25">
      <c r="A644" s="1" t="s">
        <v>653</v>
      </c>
      <c r="B644" s="1" t="s">
        <v>1154</v>
      </c>
      <c r="C644" s="1" t="s">
        <v>23</v>
      </c>
      <c r="D644">
        <v>316982</v>
      </c>
      <c r="E644">
        <v>41411</v>
      </c>
      <c r="F644">
        <v>34868</v>
      </c>
      <c r="G644">
        <v>15</v>
      </c>
      <c r="H644" s="4">
        <v>99.5</v>
      </c>
      <c r="I644" s="2">
        <v>0.6</v>
      </c>
      <c r="J644">
        <v>0</v>
      </c>
      <c r="K644">
        <v>0</v>
      </c>
      <c r="L644">
        <v>68</v>
      </c>
      <c r="M644" s="1" t="s">
        <v>1018</v>
      </c>
      <c r="N644" s="1" t="s">
        <v>1019</v>
      </c>
    </row>
    <row r="645" spans="1:14" x14ac:dyDescent="0.25">
      <c r="A645" s="1" t="s">
        <v>654</v>
      </c>
      <c r="B645" s="1" t="s">
        <v>1311</v>
      </c>
      <c r="C645" s="1" t="s">
        <v>12</v>
      </c>
      <c r="D645">
        <v>317923</v>
      </c>
      <c r="E645">
        <v>70381</v>
      </c>
      <c r="F645">
        <v>34972</v>
      </c>
      <c r="G645">
        <v>15</v>
      </c>
      <c r="H645" s="4">
        <v>115.20000000000002</v>
      </c>
      <c r="I645" s="2">
        <v>0.73333333333333295</v>
      </c>
      <c r="J645">
        <v>5</v>
      </c>
      <c r="K645">
        <v>1</v>
      </c>
      <c r="L645">
        <v>65</v>
      </c>
      <c r="M645" s="1" t="s">
        <v>1413</v>
      </c>
      <c r="N645" s="1" t="s">
        <v>1019</v>
      </c>
    </row>
    <row r="646" spans="1:14" x14ac:dyDescent="0.25">
      <c r="A646" s="1" t="s">
        <v>655</v>
      </c>
      <c r="B646" s="1" t="s">
        <v>1084</v>
      </c>
      <c r="C646" s="1" t="s">
        <v>9</v>
      </c>
      <c r="D646">
        <v>452046</v>
      </c>
      <c r="E646">
        <v>28782</v>
      </c>
      <c r="F646">
        <v>49725</v>
      </c>
      <c r="G646">
        <v>14</v>
      </c>
      <c r="H646" s="4">
        <v>107.19999999999999</v>
      </c>
      <c r="I646" s="2">
        <v>0.85714285714285698</v>
      </c>
      <c r="J646">
        <v>0</v>
      </c>
      <c r="K646">
        <v>0</v>
      </c>
      <c r="L646">
        <v>89</v>
      </c>
      <c r="M646" s="1" t="s">
        <v>1018</v>
      </c>
      <c r="N646" s="1" t="s">
        <v>1020</v>
      </c>
    </row>
    <row r="647" spans="1:14" x14ac:dyDescent="0.25">
      <c r="A647" s="1" t="s">
        <v>656</v>
      </c>
      <c r="B647" s="1" t="s">
        <v>1162</v>
      </c>
      <c r="C647" s="1" t="s">
        <v>27</v>
      </c>
      <c r="D647">
        <v>537785</v>
      </c>
      <c r="E647">
        <v>19992</v>
      </c>
      <c r="F647">
        <v>59156</v>
      </c>
      <c r="G647">
        <v>14</v>
      </c>
      <c r="H647" s="4">
        <v>88.799999999999983</v>
      </c>
      <c r="I647" s="2">
        <v>0.5</v>
      </c>
      <c r="J647">
        <v>10</v>
      </c>
      <c r="K647">
        <v>1</v>
      </c>
      <c r="L647">
        <v>89</v>
      </c>
      <c r="M647" s="1" t="s">
        <v>1413</v>
      </c>
      <c r="N647" s="1" t="s">
        <v>1020</v>
      </c>
    </row>
    <row r="648" spans="1:14" x14ac:dyDescent="0.25">
      <c r="A648" s="1" t="s">
        <v>657</v>
      </c>
      <c r="B648" s="1" t="s">
        <v>1205</v>
      </c>
      <c r="C648" s="1" t="s">
        <v>5</v>
      </c>
      <c r="D648">
        <v>276851</v>
      </c>
      <c r="E648">
        <v>31051</v>
      </c>
      <c r="F648">
        <v>30454</v>
      </c>
      <c r="G648">
        <v>15</v>
      </c>
      <c r="H648" s="4">
        <v>109.60000000000004</v>
      </c>
      <c r="I648" s="2">
        <v>0.73333333333333295</v>
      </c>
      <c r="J648">
        <v>0</v>
      </c>
      <c r="K648">
        <v>0</v>
      </c>
      <c r="L648">
        <v>78</v>
      </c>
      <c r="M648" s="1" t="s">
        <v>1016</v>
      </c>
      <c r="N648" s="1" t="s">
        <v>1017</v>
      </c>
    </row>
    <row r="649" spans="1:14" x14ac:dyDescent="0.25">
      <c r="A649" s="1" t="s">
        <v>658</v>
      </c>
      <c r="B649" s="1" t="s">
        <v>1027</v>
      </c>
      <c r="C649" s="1" t="s">
        <v>23</v>
      </c>
      <c r="D649">
        <v>585965</v>
      </c>
      <c r="E649">
        <v>60753</v>
      </c>
      <c r="F649">
        <v>64456</v>
      </c>
      <c r="G649">
        <v>15</v>
      </c>
      <c r="H649" s="4">
        <v>90</v>
      </c>
      <c r="I649" s="2">
        <v>0.66666666666666696</v>
      </c>
      <c r="J649">
        <v>0</v>
      </c>
      <c r="K649">
        <v>0</v>
      </c>
      <c r="L649">
        <v>77</v>
      </c>
      <c r="M649" s="1" t="s">
        <v>1014</v>
      </c>
      <c r="N649" s="1" t="s">
        <v>1017</v>
      </c>
    </row>
    <row r="650" spans="1:14" x14ac:dyDescent="0.25">
      <c r="A650" s="1" t="s">
        <v>659</v>
      </c>
      <c r="B650" s="1" t="s">
        <v>1363</v>
      </c>
      <c r="C650" s="1" t="s">
        <v>27</v>
      </c>
      <c r="D650">
        <v>673616</v>
      </c>
      <c r="E650">
        <v>51609</v>
      </c>
      <c r="F650">
        <v>74098</v>
      </c>
      <c r="G650">
        <v>15</v>
      </c>
      <c r="H650" s="4">
        <v>90.8</v>
      </c>
      <c r="I650" s="2">
        <v>0.66666666666666696</v>
      </c>
      <c r="J650">
        <v>0</v>
      </c>
      <c r="K650">
        <v>0</v>
      </c>
      <c r="L650">
        <v>80</v>
      </c>
      <c r="M650" s="1" t="s">
        <v>1018</v>
      </c>
      <c r="N650" s="1" t="s">
        <v>1020</v>
      </c>
    </row>
    <row r="651" spans="1:14" x14ac:dyDescent="0.25">
      <c r="A651" s="1" t="s">
        <v>660</v>
      </c>
      <c r="B651" s="1" t="s">
        <v>1151</v>
      </c>
      <c r="C651" s="1" t="s">
        <v>7</v>
      </c>
      <c r="D651">
        <v>621897</v>
      </c>
      <c r="E651">
        <v>11934</v>
      </c>
      <c r="F651">
        <v>68409</v>
      </c>
      <c r="G651">
        <v>15</v>
      </c>
      <c r="H651" s="4">
        <v>105.30000000000001</v>
      </c>
      <c r="I651" s="2">
        <v>0.8</v>
      </c>
      <c r="J651">
        <v>0</v>
      </c>
      <c r="K651">
        <v>0</v>
      </c>
      <c r="L651">
        <v>92</v>
      </c>
      <c r="M651" s="1" t="s">
        <v>1016</v>
      </c>
      <c r="N651" s="1" t="s">
        <v>1015</v>
      </c>
    </row>
    <row r="652" spans="1:14" x14ac:dyDescent="0.25">
      <c r="A652" s="1" t="s">
        <v>661</v>
      </c>
      <c r="B652" s="1" t="s">
        <v>1040</v>
      </c>
      <c r="C652" s="1" t="s">
        <v>37</v>
      </c>
      <c r="D652">
        <v>463995</v>
      </c>
      <c r="E652">
        <v>22447</v>
      </c>
      <c r="F652">
        <v>51039</v>
      </c>
      <c r="G652">
        <v>15</v>
      </c>
      <c r="H652" s="4">
        <v>103.6</v>
      </c>
      <c r="I652" s="2">
        <v>0.66666666666666696</v>
      </c>
      <c r="J652">
        <v>0</v>
      </c>
      <c r="K652">
        <v>0</v>
      </c>
      <c r="L652">
        <v>86</v>
      </c>
      <c r="M652" s="1" t="s">
        <v>1018</v>
      </c>
      <c r="N652" s="1" t="s">
        <v>1020</v>
      </c>
    </row>
    <row r="653" spans="1:14" x14ac:dyDescent="0.25">
      <c r="A653" s="1" t="s">
        <v>662</v>
      </c>
      <c r="B653" s="1" t="s">
        <v>1340</v>
      </c>
      <c r="C653" s="1" t="s">
        <v>9</v>
      </c>
      <c r="D653">
        <v>387771</v>
      </c>
      <c r="E653">
        <v>53860</v>
      </c>
      <c r="F653">
        <v>42655</v>
      </c>
      <c r="G653">
        <v>15</v>
      </c>
      <c r="H653" s="4">
        <v>104.6</v>
      </c>
      <c r="I653" s="2">
        <v>0.66666666666666696</v>
      </c>
      <c r="J653">
        <v>0</v>
      </c>
      <c r="K653">
        <v>0</v>
      </c>
      <c r="L653">
        <v>56</v>
      </c>
      <c r="M653" s="1" t="s">
        <v>1021</v>
      </c>
      <c r="N653" s="1" t="s">
        <v>1019</v>
      </c>
    </row>
    <row r="654" spans="1:14" x14ac:dyDescent="0.25">
      <c r="A654" s="1" t="s">
        <v>663</v>
      </c>
      <c r="B654" s="1" t="s">
        <v>1311</v>
      </c>
      <c r="C654" s="1" t="s">
        <v>27</v>
      </c>
      <c r="D654">
        <v>263910</v>
      </c>
      <c r="E654">
        <v>20181</v>
      </c>
      <c r="F654">
        <v>29030</v>
      </c>
      <c r="G654">
        <v>15</v>
      </c>
      <c r="H654" s="4">
        <v>104.10000000000001</v>
      </c>
      <c r="I654" s="2">
        <v>0.73333333333333295</v>
      </c>
      <c r="J654">
        <v>0</v>
      </c>
      <c r="K654">
        <v>0</v>
      </c>
      <c r="L654">
        <v>88</v>
      </c>
      <c r="M654" s="1" t="s">
        <v>1413</v>
      </c>
      <c r="N654" s="1" t="s">
        <v>1020</v>
      </c>
    </row>
    <row r="655" spans="1:14" x14ac:dyDescent="0.25">
      <c r="A655" s="1" t="s">
        <v>664</v>
      </c>
      <c r="B655" s="1" t="s">
        <v>1080</v>
      </c>
      <c r="C655" s="1" t="s">
        <v>9</v>
      </c>
      <c r="D655">
        <v>628673</v>
      </c>
      <c r="E655">
        <v>28195</v>
      </c>
      <c r="F655">
        <v>69154</v>
      </c>
      <c r="G655">
        <v>15</v>
      </c>
      <c r="H655" s="4">
        <v>105.19999999999999</v>
      </c>
      <c r="I655" s="2">
        <v>0.6</v>
      </c>
      <c r="J655">
        <v>0</v>
      </c>
      <c r="K655">
        <v>0</v>
      </c>
      <c r="L655">
        <v>89</v>
      </c>
      <c r="M655" s="1" t="s">
        <v>1016</v>
      </c>
      <c r="N655" s="1" t="s">
        <v>1020</v>
      </c>
    </row>
    <row r="656" spans="1:14" x14ac:dyDescent="0.25">
      <c r="A656" s="1" t="s">
        <v>665</v>
      </c>
      <c r="B656" s="1" t="s">
        <v>1086</v>
      </c>
      <c r="C656" s="1" t="s">
        <v>52</v>
      </c>
      <c r="D656">
        <v>448893</v>
      </c>
      <c r="E656">
        <v>61116</v>
      </c>
      <c r="F656">
        <v>49378</v>
      </c>
      <c r="G656">
        <v>15</v>
      </c>
      <c r="H656" s="4">
        <v>110.19999999999999</v>
      </c>
      <c r="I656" s="2">
        <v>0.86666666666666703</v>
      </c>
      <c r="J656">
        <v>8</v>
      </c>
      <c r="K656">
        <v>1</v>
      </c>
      <c r="L656">
        <v>95</v>
      </c>
      <c r="M656" s="1" t="s">
        <v>1018</v>
      </c>
      <c r="N656" s="1" t="s">
        <v>1015</v>
      </c>
    </row>
    <row r="657" spans="1:14" x14ac:dyDescent="0.25">
      <c r="A657" s="1" t="s">
        <v>666</v>
      </c>
      <c r="B657" s="1" t="s">
        <v>1283</v>
      </c>
      <c r="C657" s="1" t="s">
        <v>37</v>
      </c>
      <c r="D657">
        <v>565493</v>
      </c>
      <c r="E657">
        <v>68492</v>
      </c>
      <c r="F657">
        <v>62204</v>
      </c>
      <c r="G657">
        <v>14</v>
      </c>
      <c r="H657" s="4">
        <v>96.299999999999983</v>
      </c>
      <c r="I657" s="2">
        <v>0.85714285714285698</v>
      </c>
      <c r="J657">
        <v>7</v>
      </c>
      <c r="K657">
        <v>1</v>
      </c>
      <c r="L657">
        <v>100</v>
      </c>
      <c r="M657" s="1" t="s">
        <v>1021</v>
      </c>
      <c r="N657" s="1" t="s">
        <v>1015</v>
      </c>
    </row>
    <row r="658" spans="1:14" x14ac:dyDescent="0.25">
      <c r="A658" s="1" t="s">
        <v>667</v>
      </c>
      <c r="B658" s="1" t="s">
        <v>1126</v>
      </c>
      <c r="C658" s="1" t="s">
        <v>3</v>
      </c>
      <c r="D658">
        <v>584353</v>
      </c>
      <c r="E658">
        <v>25585</v>
      </c>
      <c r="F658">
        <v>64279</v>
      </c>
      <c r="G658">
        <v>15</v>
      </c>
      <c r="H658" s="4">
        <v>86.9</v>
      </c>
      <c r="I658" s="2">
        <v>0.66666666666666696</v>
      </c>
      <c r="J658">
        <v>0</v>
      </c>
      <c r="K658">
        <v>0</v>
      </c>
      <c r="L658">
        <v>70</v>
      </c>
      <c r="M658" s="1" t="s">
        <v>1021</v>
      </c>
      <c r="N658" s="1" t="s">
        <v>1017</v>
      </c>
    </row>
    <row r="659" spans="1:14" x14ac:dyDescent="0.25">
      <c r="A659" s="1" t="s">
        <v>668</v>
      </c>
      <c r="B659" s="1" t="s">
        <v>1078</v>
      </c>
      <c r="C659" s="1" t="s">
        <v>9</v>
      </c>
      <c r="D659">
        <v>473699</v>
      </c>
      <c r="E659">
        <v>5607</v>
      </c>
      <c r="F659">
        <v>52107</v>
      </c>
      <c r="G659">
        <v>15</v>
      </c>
      <c r="H659" s="4">
        <v>97.8</v>
      </c>
      <c r="I659" s="2">
        <v>0.73333333333333295</v>
      </c>
      <c r="J659">
        <v>13</v>
      </c>
      <c r="K659">
        <v>1</v>
      </c>
      <c r="L659">
        <v>66</v>
      </c>
      <c r="M659" s="1" t="s">
        <v>1413</v>
      </c>
      <c r="N659" s="1" t="s">
        <v>1019</v>
      </c>
    </row>
    <row r="660" spans="1:14" x14ac:dyDescent="0.25">
      <c r="A660" s="1" t="s">
        <v>669</v>
      </c>
      <c r="B660" s="1" t="s">
        <v>1233</v>
      </c>
      <c r="C660" s="1" t="s">
        <v>23</v>
      </c>
      <c r="D660">
        <v>748988</v>
      </c>
      <c r="E660">
        <v>89584</v>
      </c>
      <c r="F660">
        <v>82389</v>
      </c>
      <c r="G660">
        <v>15</v>
      </c>
      <c r="H660" s="4">
        <v>101.7</v>
      </c>
      <c r="I660" s="2">
        <v>0.8</v>
      </c>
      <c r="J660">
        <v>6</v>
      </c>
      <c r="K660">
        <v>2</v>
      </c>
      <c r="L660">
        <v>73</v>
      </c>
      <c r="M660" s="1" t="s">
        <v>1014</v>
      </c>
      <c r="N660" s="1" t="s">
        <v>1017</v>
      </c>
    </row>
    <row r="661" spans="1:14" x14ac:dyDescent="0.25">
      <c r="A661" s="1" t="s">
        <v>670</v>
      </c>
      <c r="B661" s="1" t="s">
        <v>1359</v>
      </c>
      <c r="C661" s="1" t="s">
        <v>3</v>
      </c>
      <c r="D661">
        <v>686807</v>
      </c>
      <c r="E661">
        <v>10156</v>
      </c>
      <c r="F661">
        <v>75549</v>
      </c>
      <c r="G661">
        <v>15</v>
      </c>
      <c r="H661" s="4">
        <v>96.2</v>
      </c>
      <c r="I661" s="2">
        <v>0.73333333333333295</v>
      </c>
      <c r="J661">
        <v>18</v>
      </c>
      <c r="K661">
        <v>2</v>
      </c>
      <c r="L661">
        <v>61</v>
      </c>
      <c r="M661" s="1" t="s">
        <v>1021</v>
      </c>
      <c r="N661" s="1" t="s">
        <v>1019</v>
      </c>
    </row>
    <row r="662" spans="1:14" x14ac:dyDescent="0.25">
      <c r="A662" s="1" t="s">
        <v>671</v>
      </c>
      <c r="B662" s="1" t="s">
        <v>1032</v>
      </c>
      <c r="C662" s="1" t="s">
        <v>12</v>
      </c>
      <c r="D662">
        <v>311822</v>
      </c>
      <c r="E662">
        <v>42090</v>
      </c>
      <c r="F662">
        <v>34300</v>
      </c>
      <c r="G662">
        <v>15</v>
      </c>
      <c r="H662" s="4">
        <v>99.9</v>
      </c>
      <c r="I662" s="2">
        <v>0.66666666666666696</v>
      </c>
      <c r="J662">
        <v>0</v>
      </c>
      <c r="K662">
        <v>0</v>
      </c>
      <c r="L662">
        <v>89</v>
      </c>
      <c r="M662" s="1" t="s">
        <v>1021</v>
      </c>
      <c r="N662" s="1" t="s">
        <v>1020</v>
      </c>
    </row>
    <row r="663" spans="1:14" x14ac:dyDescent="0.25">
      <c r="A663" s="1" t="s">
        <v>672</v>
      </c>
      <c r="B663" s="1" t="s">
        <v>1202</v>
      </c>
      <c r="C663" s="1" t="s">
        <v>3</v>
      </c>
      <c r="D663">
        <v>613521</v>
      </c>
      <c r="E663">
        <v>31500</v>
      </c>
      <c r="F663">
        <v>67487</v>
      </c>
      <c r="G663">
        <v>15</v>
      </c>
      <c r="H663" s="4">
        <v>116.3</v>
      </c>
      <c r="I663" s="2">
        <v>0.66666666666666696</v>
      </c>
      <c r="J663">
        <v>14</v>
      </c>
      <c r="K663">
        <v>1</v>
      </c>
      <c r="L663">
        <v>58</v>
      </c>
      <c r="M663" s="1" t="s">
        <v>1014</v>
      </c>
      <c r="N663" s="1" t="s">
        <v>1019</v>
      </c>
    </row>
    <row r="664" spans="1:14" x14ac:dyDescent="0.25">
      <c r="A664" s="1" t="s">
        <v>673</v>
      </c>
      <c r="B664" s="1" t="s">
        <v>1364</v>
      </c>
      <c r="C664" s="1" t="s">
        <v>27</v>
      </c>
      <c r="D664">
        <v>594074</v>
      </c>
      <c r="E664">
        <v>60077</v>
      </c>
      <c r="F664">
        <v>65348</v>
      </c>
      <c r="G664">
        <v>15</v>
      </c>
      <c r="H664" s="4">
        <v>102.89999999999999</v>
      </c>
      <c r="I664" s="2">
        <v>0.73333333333333295</v>
      </c>
      <c r="J664">
        <v>14</v>
      </c>
      <c r="K664">
        <v>2</v>
      </c>
      <c r="L664">
        <v>67</v>
      </c>
      <c r="M664" s="1" t="s">
        <v>1014</v>
      </c>
      <c r="N664" s="1" t="s">
        <v>1019</v>
      </c>
    </row>
    <row r="665" spans="1:14" x14ac:dyDescent="0.25">
      <c r="A665" s="1" t="s">
        <v>674</v>
      </c>
      <c r="B665" s="1" t="s">
        <v>1070</v>
      </c>
      <c r="C665" s="1" t="s">
        <v>5</v>
      </c>
      <c r="D665">
        <v>347691</v>
      </c>
      <c r="E665">
        <v>15366</v>
      </c>
      <c r="F665">
        <v>38246</v>
      </c>
      <c r="G665">
        <v>15</v>
      </c>
      <c r="H665" s="4">
        <v>115.19999999999999</v>
      </c>
      <c r="I665" s="2">
        <v>0.8</v>
      </c>
      <c r="J665">
        <v>17</v>
      </c>
      <c r="K665">
        <v>2</v>
      </c>
      <c r="L665">
        <v>61</v>
      </c>
      <c r="M665" s="1" t="s">
        <v>1413</v>
      </c>
      <c r="N665" s="1" t="s">
        <v>1019</v>
      </c>
    </row>
    <row r="666" spans="1:14" x14ac:dyDescent="0.25">
      <c r="A666" s="1" t="s">
        <v>675</v>
      </c>
      <c r="B666" s="1" t="s">
        <v>1046</v>
      </c>
      <c r="C666" s="1" t="s">
        <v>52</v>
      </c>
      <c r="D666">
        <v>392162</v>
      </c>
      <c r="E666">
        <v>83447</v>
      </c>
      <c r="F666">
        <v>43138</v>
      </c>
      <c r="G666">
        <v>15</v>
      </c>
      <c r="H666" s="4">
        <v>109.10000000000001</v>
      </c>
      <c r="I666" s="2">
        <v>0.8</v>
      </c>
      <c r="J666">
        <v>0</v>
      </c>
      <c r="K666">
        <v>0</v>
      </c>
      <c r="L666">
        <v>63</v>
      </c>
      <c r="M666" s="1" t="s">
        <v>1021</v>
      </c>
      <c r="N666" s="1" t="s">
        <v>1019</v>
      </c>
    </row>
    <row r="667" spans="1:14" x14ac:dyDescent="0.25">
      <c r="A667" s="1" t="s">
        <v>676</v>
      </c>
      <c r="B667" s="1" t="s">
        <v>1365</v>
      </c>
      <c r="C667" s="1" t="s">
        <v>23</v>
      </c>
      <c r="D667">
        <v>665341</v>
      </c>
      <c r="E667">
        <v>42069</v>
      </c>
      <c r="F667">
        <v>73188</v>
      </c>
      <c r="G667">
        <v>15</v>
      </c>
      <c r="H667" s="4">
        <v>106.30000000000001</v>
      </c>
      <c r="I667" s="2">
        <v>0.86666666666666703</v>
      </c>
      <c r="J667">
        <v>0</v>
      </c>
      <c r="K667">
        <v>0</v>
      </c>
      <c r="L667">
        <v>79</v>
      </c>
      <c r="M667" s="1" t="s">
        <v>1018</v>
      </c>
      <c r="N667" s="1" t="s">
        <v>1017</v>
      </c>
    </row>
    <row r="668" spans="1:14" x14ac:dyDescent="0.25">
      <c r="A668" s="1" t="s">
        <v>677</v>
      </c>
      <c r="B668" s="1" t="s">
        <v>1073</v>
      </c>
      <c r="C668" s="1" t="s">
        <v>27</v>
      </c>
      <c r="D668">
        <v>699604</v>
      </c>
      <c r="E668">
        <v>65913</v>
      </c>
      <c r="F668">
        <v>76956</v>
      </c>
      <c r="G668">
        <v>15</v>
      </c>
      <c r="H668" s="4">
        <v>114.29999999999998</v>
      </c>
      <c r="I668" s="2">
        <v>0.8</v>
      </c>
      <c r="J668">
        <v>0</v>
      </c>
      <c r="K668">
        <v>0</v>
      </c>
      <c r="L668">
        <v>63</v>
      </c>
      <c r="M668" s="1" t="s">
        <v>1016</v>
      </c>
      <c r="N668" s="1" t="s">
        <v>1019</v>
      </c>
    </row>
    <row r="669" spans="1:14" x14ac:dyDescent="0.25">
      <c r="A669" s="1" t="s">
        <v>678</v>
      </c>
      <c r="B669" s="1" t="s">
        <v>1169</v>
      </c>
      <c r="C669" s="1" t="s">
        <v>5</v>
      </c>
      <c r="D669">
        <v>834231</v>
      </c>
      <c r="E669">
        <v>17966</v>
      </c>
      <c r="F669">
        <v>91765</v>
      </c>
      <c r="G669">
        <v>15</v>
      </c>
      <c r="H669" s="4">
        <v>95.699999999999989</v>
      </c>
      <c r="I669" s="2">
        <v>0.6</v>
      </c>
      <c r="J669">
        <v>0</v>
      </c>
      <c r="K669">
        <v>0</v>
      </c>
      <c r="L669">
        <v>85</v>
      </c>
      <c r="M669" s="1" t="s">
        <v>1016</v>
      </c>
      <c r="N669" s="1" t="s">
        <v>1020</v>
      </c>
    </row>
    <row r="670" spans="1:14" x14ac:dyDescent="0.25">
      <c r="A670" s="1" t="s">
        <v>679</v>
      </c>
      <c r="B670" s="1" t="s">
        <v>1236</v>
      </c>
      <c r="C670" s="1" t="s">
        <v>37</v>
      </c>
      <c r="D670">
        <v>635669</v>
      </c>
      <c r="E670">
        <v>59453</v>
      </c>
      <c r="F670">
        <v>69924</v>
      </c>
      <c r="G670">
        <v>15</v>
      </c>
      <c r="H670" s="4">
        <v>95.7</v>
      </c>
      <c r="I670" s="2">
        <v>0.66666666666666696</v>
      </c>
      <c r="J670">
        <v>0</v>
      </c>
      <c r="K670">
        <v>0</v>
      </c>
      <c r="L670">
        <v>89</v>
      </c>
      <c r="M670" s="1" t="s">
        <v>1014</v>
      </c>
      <c r="N670" s="1" t="s">
        <v>1020</v>
      </c>
    </row>
    <row r="671" spans="1:14" x14ac:dyDescent="0.25">
      <c r="A671" s="1" t="s">
        <v>680</v>
      </c>
      <c r="B671" s="1" t="s">
        <v>1259</v>
      </c>
      <c r="C671" s="1" t="s">
        <v>3</v>
      </c>
      <c r="D671">
        <v>842358</v>
      </c>
      <c r="E671">
        <v>73315</v>
      </c>
      <c r="F671">
        <v>92659</v>
      </c>
      <c r="G671">
        <v>15</v>
      </c>
      <c r="H671" s="4">
        <v>112.4</v>
      </c>
      <c r="I671" s="2">
        <v>0.8</v>
      </c>
      <c r="J671">
        <v>0</v>
      </c>
      <c r="K671">
        <v>0</v>
      </c>
      <c r="L671">
        <v>86</v>
      </c>
      <c r="M671" s="1" t="s">
        <v>1021</v>
      </c>
      <c r="N671" s="1" t="s">
        <v>1020</v>
      </c>
    </row>
    <row r="672" spans="1:14" x14ac:dyDescent="0.25">
      <c r="A672" s="1" t="s">
        <v>681</v>
      </c>
      <c r="B672" s="1" t="s">
        <v>1366</v>
      </c>
      <c r="C672" s="1" t="s">
        <v>27</v>
      </c>
      <c r="D672">
        <v>754026</v>
      </c>
      <c r="E672">
        <v>12749</v>
      </c>
      <c r="F672">
        <v>82943</v>
      </c>
      <c r="G672">
        <v>15</v>
      </c>
      <c r="H672" s="4">
        <v>106.59999999999998</v>
      </c>
      <c r="I672" s="2">
        <v>0.8</v>
      </c>
      <c r="J672">
        <v>0</v>
      </c>
      <c r="K672">
        <v>0</v>
      </c>
      <c r="L672">
        <v>64</v>
      </c>
      <c r="M672" s="1" t="s">
        <v>1016</v>
      </c>
      <c r="N672" s="1" t="s">
        <v>1019</v>
      </c>
    </row>
    <row r="673" spans="1:14" x14ac:dyDescent="0.25">
      <c r="A673" s="1" t="s">
        <v>682</v>
      </c>
      <c r="B673" s="1" t="s">
        <v>1330</v>
      </c>
      <c r="C673" s="1" t="s">
        <v>3</v>
      </c>
      <c r="D673">
        <v>617757</v>
      </c>
      <c r="E673">
        <v>38853</v>
      </c>
      <c r="F673">
        <v>67953</v>
      </c>
      <c r="G673">
        <v>15</v>
      </c>
      <c r="H673" s="4">
        <v>88.100000000000023</v>
      </c>
      <c r="I673" s="2">
        <v>0.73333333333333295</v>
      </c>
      <c r="J673">
        <v>0</v>
      </c>
      <c r="K673">
        <v>0</v>
      </c>
      <c r="L673">
        <v>64</v>
      </c>
      <c r="M673" s="1" t="s">
        <v>1021</v>
      </c>
      <c r="N673" s="1" t="s">
        <v>1019</v>
      </c>
    </row>
    <row r="674" spans="1:14" x14ac:dyDescent="0.25">
      <c r="A674" s="1" t="s">
        <v>683</v>
      </c>
      <c r="B674" s="1" t="s">
        <v>1047</v>
      </c>
      <c r="C674" s="1" t="s">
        <v>1037</v>
      </c>
      <c r="D674">
        <v>845965</v>
      </c>
      <c r="E674">
        <v>6269</v>
      </c>
      <c r="F674">
        <v>93056</v>
      </c>
      <c r="G674">
        <v>15</v>
      </c>
      <c r="H674" s="4">
        <v>81.800000000000011</v>
      </c>
      <c r="I674" s="2">
        <v>0.66666666666666696</v>
      </c>
      <c r="J674">
        <v>0</v>
      </c>
      <c r="K674">
        <v>0</v>
      </c>
      <c r="L674">
        <v>69</v>
      </c>
      <c r="M674" s="1" t="s">
        <v>1014</v>
      </c>
      <c r="N674" s="1" t="s">
        <v>1019</v>
      </c>
    </row>
    <row r="675" spans="1:14" x14ac:dyDescent="0.25">
      <c r="A675" s="1" t="s">
        <v>684</v>
      </c>
      <c r="B675" s="1" t="s">
        <v>1029</v>
      </c>
      <c r="C675" s="1" t="s">
        <v>23</v>
      </c>
      <c r="D675">
        <v>761648</v>
      </c>
      <c r="E675">
        <v>87916</v>
      </c>
      <c r="F675">
        <v>83781</v>
      </c>
      <c r="G675">
        <v>15</v>
      </c>
      <c r="H675" s="4">
        <v>96</v>
      </c>
      <c r="I675" s="2">
        <v>0.8</v>
      </c>
      <c r="J675">
        <v>0</v>
      </c>
      <c r="K675">
        <v>0</v>
      </c>
      <c r="L675">
        <v>56</v>
      </c>
      <c r="M675" s="1" t="s">
        <v>1016</v>
      </c>
      <c r="N675" s="1" t="s">
        <v>1019</v>
      </c>
    </row>
    <row r="676" spans="1:14" x14ac:dyDescent="0.25">
      <c r="A676" s="1" t="s">
        <v>685</v>
      </c>
      <c r="B676" s="1" t="s">
        <v>1036</v>
      </c>
      <c r="C676" s="1" t="s">
        <v>52</v>
      </c>
      <c r="D676">
        <v>534159</v>
      </c>
      <c r="E676">
        <v>74574</v>
      </c>
      <c r="F676">
        <v>58757</v>
      </c>
      <c r="G676">
        <v>15</v>
      </c>
      <c r="H676" s="4">
        <v>99.000000000000014</v>
      </c>
      <c r="I676" s="2">
        <v>0.73333333333333295</v>
      </c>
      <c r="J676">
        <v>0</v>
      </c>
      <c r="K676">
        <v>0</v>
      </c>
      <c r="L676">
        <v>81</v>
      </c>
      <c r="M676" s="1" t="s">
        <v>1014</v>
      </c>
      <c r="N676" s="1" t="s">
        <v>1020</v>
      </c>
    </row>
    <row r="677" spans="1:14" x14ac:dyDescent="0.25">
      <c r="A677" s="1" t="s">
        <v>686</v>
      </c>
      <c r="B677" s="1" t="s">
        <v>1367</v>
      </c>
      <c r="C677" s="1" t="s">
        <v>52</v>
      </c>
      <c r="D677">
        <v>743781</v>
      </c>
      <c r="E677">
        <v>55053</v>
      </c>
      <c r="F677">
        <v>81816</v>
      </c>
      <c r="G677">
        <v>15</v>
      </c>
      <c r="H677" s="4">
        <v>98.399999999999991</v>
      </c>
      <c r="I677" s="2">
        <v>0.6</v>
      </c>
      <c r="J677">
        <v>13</v>
      </c>
      <c r="K677">
        <v>1</v>
      </c>
      <c r="L677">
        <v>70</v>
      </c>
      <c r="M677" s="1" t="s">
        <v>1014</v>
      </c>
      <c r="N677" s="1" t="s">
        <v>1017</v>
      </c>
    </row>
    <row r="678" spans="1:14" x14ac:dyDescent="0.25">
      <c r="A678" s="1" t="s">
        <v>687</v>
      </c>
      <c r="B678" s="1" t="s">
        <v>1368</v>
      </c>
      <c r="C678" s="1" t="s">
        <v>27</v>
      </c>
      <c r="D678">
        <v>243174</v>
      </c>
      <c r="E678">
        <v>16929</v>
      </c>
      <c r="F678">
        <v>26749</v>
      </c>
      <c r="G678">
        <v>15</v>
      </c>
      <c r="H678" s="4">
        <v>117.49999999999999</v>
      </c>
      <c r="I678" s="2">
        <v>0.8</v>
      </c>
      <c r="J678">
        <v>0</v>
      </c>
      <c r="K678">
        <v>0</v>
      </c>
      <c r="L678">
        <v>64</v>
      </c>
      <c r="M678" s="1" t="s">
        <v>1014</v>
      </c>
      <c r="N678" s="1" t="s">
        <v>1019</v>
      </c>
    </row>
    <row r="679" spans="1:14" x14ac:dyDescent="0.25">
      <c r="A679" s="1" t="s">
        <v>688</v>
      </c>
      <c r="B679" s="1" t="s">
        <v>1357</v>
      </c>
      <c r="C679" s="1" t="s">
        <v>9</v>
      </c>
      <c r="D679">
        <v>766264</v>
      </c>
      <c r="E679">
        <v>43857</v>
      </c>
      <c r="F679">
        <v>84289</v>
      </c>
      <c r="G679">
        <v>13</v>
      </c>
      <c r="H679" s="4">
        <v>87.9</v>
      </c>
      <c r="I679" s="2">
        <v>0.84615384615384603</v>
      </c>
      <c r="J679">
        <v>19</v>
      </c>
      <c r="K679">
        <v>2</v>
      </c>
      <c r="L679">
        <v>94</v>
      </c>
      <c r="M679" s="1" t="s">
        <v>1014</v>
      </c>
      <c r="N679" s="1" t="s">
        <v>1015</v>
      </c>
    </row>
    <row r="680" spans="1:14" x14ac:dyDescent="0.25">
      <c r="A680" s="1" t="s">
        <v>689</v>
      </c>
      <c r="B680" s="1" t="s">
        <v>1369</v>
      </c>
      <c r="C680" s="1" t="s">
        <v>5</v>
      </c>
      <c r="D680">
        <v>399081</v>
      </c>
      <c r="E680">
        <v>78667</v>
      </c>
      <c r="F680">
        <v>43899</v>
      </c>
      <c r="G680">
        <v>15</v>
      </c>
      <c r="H680" s="4">
        <v>118.2</v>
      </c>
      <c r="I680" s="2">
        <v>0.6</v>
      </c>
      <c r="J680">
        <v>0</v>
      </c>
      <c r="K680">
        <v>0</v>
      </c>
      <c r="L680">
        <v>86</v>
      </c>
      <c r="M680" s="1" t="s">
        <v>1021</v>
      </c>
      <c r="N680" s="1" t="s">
        <v>1020</v>
      </c>
    </row>
    <row r="681" spans="1:14" x14ac:dyDescent="0.25">
      <c r="A681" s="1" t="s">
        <v>690</v>
      </c>
      <c r="B681" s="1" t="s">
        <v>1177</v>
      </c>
      <c r="C681" s="1" t="s">
        <v>12</v>
      </c>
      <c r="D681">
        <v>318469</v>
      </c>
      <c r="E681">
        <v>53009</v>
      </c>
      <c r="F681">
        <v>35032</v>
      </c>
      <c r="G681">
        <v>15</v>
      </c>
      <c r="H681" s="4">
        <v>103.00000000000001</v>
      </c>
      <c r="I681" s="2">
        <v>0.73333333333333295</v>
      </c>
      <c r="J681">
        <v>0</v>
      </c>
      <c r="K681">
        <v>0</v>
      </c>
      <c r="L681">
        <v>63</v>
      </c>
      <c r="M681" s="1" t="s">
        <v>1413</v>
      </c>
      <c r="N681" s="1" t="s">
        <v>1019</v>
      </c>
    </row>
    <row r="682" spans="1:14" x14ac:dyDescent="0.25">
      <c r="A682" s="1" t="s">
        <v>691</v>
      </c>
      <c r="B682" s="1" t="s">
        <v>1199</v>
      </c>
      <c r="C682" s="1" t="s">
        <v>12</v>
      </c>
      <c r="D682">
        <v>328903</v>
      </c>
      <c r="E682">
        <v>18254</v>
      </c>
      <c r="F682">
        <v>36179</v>
      </c>
      <c r="G682">
        <v>15</v>
      </c>
      <c r="H682" s="4">
        <v>107.60000000000001</v>
      </c>
      <c r="I682" s="2">
        <v>0.8</v>
      </c>
      <c r="J682">
        <v>0</v>
      </c>
      <c r="K682">
        <v>0</v>
      </c>
      <c r="L682">
        <v>59</v>
      </c>
      <c r="M682" s="1" t="s">
        <v>1018</v>
      </c>
      <c r="N682" s="1" t="s">
        <v>1019</v>
      </c>
    </row>
    <row r="683" spans="1:14" x14ac:dyDescent="0.25">
      <c r="A683" s="1" t="s">
        <v>692</v>
      </c>
      <c r="B683" s="1" t="s">
        <v>1028</v>
      </c>
      <c r="C683" s="1" t="s">
        <v>23</v>
      </c>
      <c r="D683">
        <v>477583</v>
      </c>
      <c r="E683">
        <v>33279</v>
      </c>
      <c r="F683">
        <v>52534</v>
      </c>
      <c r="G683">
        <v>15</v>
      </c>
      <c r="H683" s="4">
        <v>103.19999999999999</v>
      </c>
      <c r="I683" s="2">
        <v>0.86666666666666703</v>
      </c>
      <c r="J683">
        <v>0</v>
      </c>
      <c r="K683">
        <v>0</v>
      </c>
      <c r="L683">
        <v>59</v>
      </c>
      <c r="M683" s="1" t="s">
        <v>1413</v>
      </c>
      <c r="N683" s="1" t="s">
        <v>1019</v>
      </c>
    </row>
    <row r="684" spans="1:14" x14ac:dyDescent="0.25">
      <c r="A684" s="1" t="s">
        <v>693</v>
      </c>
      <c r="B684" s="1" t="s">
        <v>1077</v>
      </c>
      <c r="C684" s="1" t="s">
        <v>37</v>
      </c>
      <c r="D684">
        <v>469810</v>
      </c>
      <c r="E684">
        <v>16981</v>
      </c>
      <c r="F684">
        <v>51679</v>
      </c>
      <c r="G684">
        <v>15</v>
      </c>
      <c r="H684" s="4">
        <v>101.5</v>
      </c>
      <c r="I684" s="2">
        <v>0.86666666666666703</v>
      </c>
      <c r="J684">
        <v>4</v>
      </c>
      <c r="K684">
        <v>1</v>
      </c>
      <c r="L684">
        <v>85</v>
      </c>
      <c r="M684" s="1" t="s">
        <v>1018</v>
      </c>
      <c r="N684" s="1" t="s">
        <v>1020</v>
      </c>
    </row>
    <row r="685" spans="1:14" x14ac:dyDescent="0.25">
      <c r="A685" s="1" t="s">
        <v>694</v>
      </c>
      <c r="B685" s="1" t="s">
        <v>1370</v>
      </c>
      <c r="C685" s="1" t="s">
        <v>7</v>
      </c>
      <c r="D685">
        <v>318778</v>
      </c>
      <c r="E685">
        <v>84686</v>
      </c>
      <c r="F685">
        <v>35066</v>
      </c>
      <c r="G685">
        <v>15</v>
      </c>
      <c r="H685" s="4">
        <v>109.00000000000001</v>
      </c>
      <c r="I685" s="2">
        <v>0.73333333333333295</v>
      </c>
      <c r="J685">
        <v>17</v>
      </c>
      <c r="K685">
        <v>2</v>
      </c>
      <c r="L685">
        <v>56</v>
      </c>
      <c r="M685" s="1" t="s">
        <v>1021</v>
      </c>
      <c r="N685" s="1" t="s">
        <v>1019</v>
      </c>
    </row>
    <row r="686" spans="1:14" x14ac:dyDescent="0.25">
      <c r="A686" s="1" t="s">
        <v>695</v>
      </c>
      <c r="B686" s="1" t="s">
        <v>1145</v>
      </c>
      <c r="C686" s="1" t="s">
        <v>27</v>
      </c>
      <c r="D686">
        <v>618316</v>
      </c>
      <c r="E686">
        <v>30845</v>
      </c>
      <c r="F686">
        <v>68015</v>
      </c>
      <c r="G686">
        <v>15</v>
      </c>
      <c r="H686" s="4">
        <v>104.80000000000001</v>
      </c>
      <c r="I686" s="2">
        <v>0.8</v>
      </c>
      <c r="J686">
        <v>0</v>
      </c>
      <c r="K686">
        <v>0</v>
      </c>
      <c r="L686">
        <v>63</v>
      </c>
      <c r="M686" s="1" t="s">
        <v>1018</v>
      </c>
      <c r="N686" s="1" t="s">
        <v>1019</v>
      </c>
    </row>
    <row r="687" spans="1:14" x14ac:dyDescent="0.25">
      <c r="A687" s="1" t="s">
        <v>696</v>
      </c>
      <c r="B687" s="1" t="s">
        <v>1086</v>
      </c>
      <c r="C687" s="1" t="s">
        <v>9</v>
      </c>
      <c r="D687">
        <v>819967</v>
      </c>
      <c r="E687">
        <v>38488</v>
      </c>
      <c r="F687">
        <v>90196</v>
      </c>
      <c r="G687">
        <v>15</v>
      </c>
      <c r="H687" s="4">
        <v>111.29999999999998</v>
      </c>
      <c r="I687" s="2">
        <v>0.73333333333333295</v>
      </c>
      <c r="J687">
        <v>13</v>
      </c>
      <c r="K687">
        <v>1</v>
      </c>
      <c r="L687">
        <v>88</v>
      </c>
      <c r="M687" s="1" t="s">
        <v>1016</v>
      </c>
      <c r="N687" s="1" t="s">
        <v>1020</v>
      </c>
    </row>
    <row r="688" spans="1:14" x14ac:dyDescent="0.25">
      <c r="A688" s="1" t="s">
        <v>697</v>
      </c>
      <c r="B688" s="1" t="s">
        <v>1249</v>
      </c>
      <c r="C688" s="1" t="s">
        <v>5</v>
      </c>
      <c r="D688">
        <v>242042</v>
      </c>
      <c r="E688">
        <v>69661</v>
      </c>
      <c r="F688">
        <v>26625</v>
      </c>
      <c r="G688">
        <v>15</v>
      </c>
      <c r="H688" s="4">
        <v>95.8</v>
      </c>
      <c r="I688" s="2">
        <v>0.66666666666666696</v>
      </c>
      <c r="J688">
        <v>18</v>
      </c>
      <c r="K688">
        <v>2</v>
      </c>
      <c r="L688">
        <v>85</v>
      </c>
      <c r="M688" s="1" t="s">
        <v>1018</v>
      </c>
      <c r="N688" s="1" t="s">
        <v>1020</v>
      </c>
    </row>
    <row r="689" spans="1:14" x14ac:dyDescent="0.25">
      <c r="A689" s="1" t="s">
        <v>698</v>
      </c>
      <c r="B689" s="1" t="s">
        <v>1052</v>
      </c>
      <c r="C689" s="1" t="s">
        <v>27</v>
      </c>
      <c r="D689">
        <v>326385</v>
      </c>
      <c r="E689">
        <v>51289</v>
      </c>
      <c r="F689">
        <v>35902</v>
      </c>
      <c r="G689">
        <v>15</v>
      </c>
      <c r="H689" s="4">
        <v>102.50000000000001</v>
      </c>
      <c r="I689" s="2">
        <v>0.66666666666666696</v>
      </c>
      <c r="J689">
        <v>0</v>
      </c>
      <c r="K689">
        <v>0</v>
      </c>
      <c r="L689">
        <v>57</v>
      </c>
      <c r="M689" s="1" t="s">
        <v>1016</v>
      </c>
      <c r="N689" s="1" t="s">
        <v>1019</v>
      </c>
    </row>
    <row r="690" spans="1:14" x14ac:dyDescent="0.25">
      <c r="A690" s="1" t="s">
        <v>699</v>
      </c>
      <c r="B690" s="1" t="s">
        <v>1371</v>
      </c>
      <c r="C690" s="1" t="s">
        <v>7</v>
      </c>
      <c r="D690">
        <v>571168</v>
      </c>
      <c r="E690">
        <v>21786</v>
      </c>
      <c r="G690">
        <v>15</v>
      </c>
      <c r="H690" s="4">
        <v>105.7</v>
      </c>
      <c r="I690" s="2">
        <v>0.86666666666666703</v>
      </c>
      <c r="J690">
        <v>18</v>
      </c>
      <c r="K690">
        <v>2</v>
      </c>
      <c r="L690">
        <v>96</v>
      </c>
      <c r="M690" s="1" t="s">
        <v>1018</v>
      </c>
      <c r="N690" s="1" t="s">
        <v>1015</v>
      </c>
    </row>
    <row r="691" spans="1:14" x14ac:dyDescent="0.25">
      <c r="A691" s="1" t="s">
        <v>700</v>
      </c>
      <c r="B691" s="1" t="s">
        <v>1172</v>
      </c>
      <c r="C691" s="1" t="s">
        <v>23</v>
      </c>
      <c r="D691">
        <v>360585</v>
      </c>
      <c r="E691">
        <v>35731</v>
      </c>
      <c r="F691">
        <v>39664</v>
      </c>
      <c r="G691">
        <v>15</v>
      </c>
      <c r="H691" s="4">
        <v>94.40000000000002</v>
      </c>
      <c r="I691" s="2">
        <v>0.73333333333333295</v>
      </c>
      <c r="J691">
        <v>0</v>
      </c>
      <c r="K691">
        <v>0</v>
      </c>
      <c r="L691">
        <v>86</v>
      </c>
      <c r="M691" s="1" t="s">
        <v>1016</v>
      </c>
      <c r="N691" s="1" t="s">
        <v>1020</v>
      </c>
    </row>
    <row r="692" spans="1:14" x14ac:dyDescent="0.25">
      <c r="A692" s="1" t="s">
        <v>701</v>
      </c>
      <c r="B692" s="1" t="s">
        <v>1265</v>
      </c>
      <c r="C692" s="1" t="s">
        <v>27</v>
      </c>
      <c r="D692">
        <v>712547</v>
      </c>
      <c r="E692">
        <v>38889</v>
      </c>
      <c r="F692">
        <v>78380</v>
      </c>
      <c r="G692">
        <v>15</v>
      </c>
      <c r="H692" s="4">
        <v>90.200000000000017</v>
      </c>
      <c r="I692" s="2">
        <v>0.6</v>
      </c>
      <c r="J692">
        <v>0</v>
      </c>
      <c r="K692">
        <v>0</v>
      </c>
      <c r="L692">
        <v>80</v>
      </c>
      <c r="M692" s="1" t="s">
        <v>1016</v>
      </c>
      <c r="N692" s="1" t="s">
        <v>1020</v>
      </c>
    </row>
    <row r="693" spans="1:14" x14ac:dyDescent="0.25">
      <c r="A693" s="1" t="s">
        <v>702</v>
      </c>
      <c r="B693" s="1" t="s">
        <v>1298</v>
      </c>
      <c r="C693" s="1" t="s">
        <v>1037</v>
      </c>
      <c r="D693">
        <v>396032</v>
      </c>
      <c r="E693">
        <v>45022</v>
      </c>
      <c r="F693">
        <v>43564</v>
      </c>
      <c r="G693">
        <v>15</v>
      </c>
      <c r="H693" s="4">
        <v>90.9</v>
      </c>
      <c r="I693" s="2">
        <v>0.66666666666666696</v>
      </c>
      <c r="J693">
        <v>12</v>
      </c>
      <c r="K693">
        <v>1</v>
      </c>
      <c r="L693">
        <v>73</v>
      </c>
      <c r="M693" s="1" t="s">
        <v>1016</v>
      </c>
      <c r="N693" s="1" t="s">
        <v>1017</v>
      </c>
    </row>
    <row r="694" spans="1:14" x14ac:dyDescent="0.25">
      <c r="A694" s="1" t="s">
        <v>703</v>
      </c>
      <c r="B694" s="1" t="s">
        <v>1109</v>
      </c>
      <c r="C694" s="1" t="s">
        <v>27</v>
      </c>
      <c r="D694">
        <v>284081</v>
      </c>
      <c r="E694">
        <v>71990</v>
      </c>
      <c r="F694">
        <v>31249</v>
      </c>
      <c r="G694">
        <v>15</v>
      </c>
      <c r="H694" s="4">
        <v>101.49999999999999</v>
      </c>
      <c r="I694" s="2">
        <v>0.6</v>
      </c>
      <c r="J694">
        <v>0</v>
      </c>
      <c r="K694">
        <v>0</v>
      </c>
      <c r="L694">
        <v>96</v>
      </c>
      <c r="M694" s="1" t="s">
        <v>1413</v>
      </c>
      <c r="N694" s="1" t="s">
        <v>1015</v>
      </c>
    </row>
    <row r="695" spans="1:14" x14ac:dyDescent="0.25">
      <c r="A695" s="1" t="s">
        <v>704</v>
      </c>
      <c r="B695" s="1" t="s">
        <v>1353</v>
      </c>
      <c r="C695" s="1" t="s">
        <v>12</v>
      </c>
      <c r="D695">
        <v>779385</v>
      </c>
      <c r="E695">
        <v>17500</v>
      </c>
      <c r="F695">
        <v>85732</v>
      </c>
      <c r="G695">
        <v>15</v>
      </c>
      <c r="H695" s="4">
        <v>110.7</v>
      </c>
      <c r="I695" s="2">
        <v>0.93333333333333302</v>
      </c>
      <c r="J695">
        <v>4</v>
      </c>
      <c r="K695">
        <v>1</v>
      </c>
      <c r="L695">
        <v>71</v>
      </c>
      <c r="M695" s="1" t="s">
        <v>1021</v>
      </c>
      <c r="N695" s="1" t="s">
        <v>1017</v>
      </c>
    </row>
    <row r="696" spans="1:14" x14ac:dyDescent="0.25">
      <c r="A696" s="1" t="s">
        <v>705</v>
      </c>
      <c r="B696" s="1" t="s">
        <v>1055</v>
      </c>
      <c r="C696" s="1" t="s">
        <v>3</v>
      </c>
      <c r="D696">
        <v>359356</v>
      </c>
      <c r="E696">
        <v>66107</v>
      </c>
      <c r="F696">
        <v>39529</v>
      </c>
      <c r="G696">
        <v>15</v>
      </c>
      <c r="H696" s="4">
        <v>103.2</v>
      </c>
      <c r="I696" s="2">
        <v>0.8</v>
      </c>
      <c r="J696">
        <v>3</v>
      </c>
      <c r="K696">
        <v>1</v>
      </c>
      <c r="L696">
        <v>90</v>
      </c>
      <c r="M696" s="1" t="s">
        <v>1016</v>
      </c>
      <c r="N696" s="1" t="s">
        <v>1015</v>
      </c>
    </row>
    <row r="697" spans="1:14" x14ac:dyDescent="0.25">
      <c r="A697" s="1" t="s">
        <v>706</v>
      </c>
      <c r="B697" s="1" t="s">
        <v>1059</v>
      </c>
      <c r="C697" s="1" t="s">
        <v>1037</v>
      </c>
      <c r="D697">
        <v>567447</v>
      </c>
      <c r="E697">
        <v>87364</v>
      </c>
      <c r="G697">
        <v>15</v>
      </c>
      <c r="H697" s="4">
        <v>94.5</v>
      </c>
      <c r="I697" s="2">
        <v>0.66666666666666696</v>
      </c>
      <c r="J697">
        <v>9</v>
      </c>
      <c r="K697">
        <v>1</v>
      </c>
      <c r="L697">
        <v>77</v>
      </c>
      <c r="M697" s="1" t="s">
        <v>1413</v>
      </c>
      <c r="N697" s="1" t="s">
        <v>1017</v>
      </c>
    </row>
    <row r="698" spans="1:14" x14ac:dyDescent="0.25">
      <c r="A698" s="1" t="s">
        <v>707</v>
      </c>
      <c r="B698" s="1" t="s">
        <v>1194</v>
      </c>
      <c r="C698" s="1" t="s">
        <v>5</v>
      </c>
      <c r="D698">
        <v>463557</v>
      </c>
      <c r="E698">
        <v>50249</v>
      </c>
      <c r="F698">
        <v>50991</v>
      </c>
      <c r="G698">
        <v>15</v>
      </c>
      <c r="H698" s="4">
        <v>105.39999999999999</v>
      </c>
      <c r="I698" s="2">
        <v>0.73333333333333295</v>
      </c>
      <c r="J698">
        <v>11</v>
      </c>
      <c r="K698">
        <v>1</v>
      </c>
      <c r="L698">
        <v>86</v>
      </c>
      <c r="M698" s="1" t="s">
        <v>1016</v>
      </c>
      <c r="N698" s="1" t="s">
        <v>1020</v>
      </c>
    </row>
    <row r="699" spans="1:14" x14ac:dyDescent="0.25">
      <c r="A699" s="1" t="s">
        <v>708</v>
      </c>
      <c r="B699" s="1" t="s">
        <v>1161</v>
      </c>
      <c r="C699" s="1" t="s">
        <v>9</v>
      </c>
      <c r="D699">
        <v>395507</v>
      </c>
      <c r="E699">
        <v>63572</v>
      </c>
      <c r="F699">
        <v>43506</v>
      </c>
      <c r="G699">
        <v>14</v>
      </c>
      <c r="H699" s="4">
        <v>87.899999999999991</v>
      </c>
      <c r="I699" s="2">
        <v>0.78571428571428603</v>
      </c>
      <c r="J699">
        <v>0</v>
      </c>
      <c r="K699">
        <v>0</v>
      </c>
      <c r="L699">
        <v>56</v>
      </c>
      <c r="M699" s="1" t="s">
        <v>1413</v>
      </c>
      <c r="N699" s="1" t="s">
        <v>1019</v>
      </c>
    </row>
    <row r="700" spans="1:14" x14ac:dyDescent="0.25">
      <c r="A700" s="1" t="s">
        <v>709</v>
      </c>
      <c r="B700" s="1" t="s">
        <v>1133</v>
      </c>
      <c r="C700" s="1" t="s">
        <v>1117</v>
      </c>
      <c r="D700">
        <v>284536</v>
      </c>
      <c r="E700">
        <v>9692</v>
      </c>
      <c r="F700">
        <v>31299</v>
      </c>
      <c r="G700">
        <v>15</v>
      </c>
      <c r="H700" s="4">
        <v>123.20000000000002</v>
      </c>
      <c r="I700" s="2">
        <v>0.8</v>
      </c>
      <c r="J700">
        <v>0</v>
      </c>
      <c r="K700">
        <v>0</v>
      </c>
      <c r="L700">
        <v>97</v>
      </c>
      <c r="M700" s="1" t="s">
        <v>1021</v>
      </c>
      <c r="N700" s="1" t="s">
        <v>1015</v>
      </c>
    </row>
    <row r="701" spans="1:14" x14ac:dyDescent="0.25">
      <c r="A701" s="1" t="s">
        <v>710</v>
      </c>
      <c r="B701" s="1" t="s">
        <v>1372</v>
      </c>
      <c r="C701" s="1" t="s">
        <v>7</v>
      </c>
      <c r="D701">
        <v>367512</v>
      </c>
      <c r="E701">
        <v>76158</v>
      </c>
      <c r="F701">
        <v>40426</v>
      </c>
      <c r="G701">
        <v>14</v>
      </c>
      <c r="H701" s="4">
        <v>89.899999999999991</v>
      </c>
      <c r="I701" s="2">
        <v>0.64285714285714302</v>
      </c>
      <c r="J701">
        <v>0</v>
      </c>
      <c r="K701">
        <v>0</v>
      </c>
      <c r="L701">
        <v>88</v>
      </c>
      <c r="M701" s="1" t="s">
        <v>1021</v>
      </c>
      <c r="N701" s="1" t="s">
        <v>1020</v>
      </c>
    </row>
    <row r="702" spans="1:14" x14ac:dyDescent="0.25">
      <c r="A702" s="1" t="s">
        <v>711</v>
      </c>
      <c r="B702" s="1" t="s">
        <v>1131</v>
      </c>
      <c r="C702" s="1" t="s">
        <v>5</v>
      </c>
      <c r="D702">
        <v>490181</v>
      </c>
      <c r="E702">
        <v>82360</v>
      </c>
      <c r="F702">
        <v>53920</v>
      </c>
      <c r="G702">
        <v>15</v>
      </c>
      <c r="H702" s="4">
        <v>89.8</v>
      </c>
      <c r="I702" s="2">
        <v>0.6</v>
      </c>
      <c r="J702">
        <v>6</v>
      </c>
      <c r="K702">
        <v>1</v>
      </c>
      <c r="L702">
        <v>0</v>
      </c>
      <c r="M702" s="1" t="s">
        <v>1413</v>
      </c>
      <c r="N702" s="1" t="s">
        <v>1414</v>
      </c>
    </row>
    <row r="703" spans="1:14" x14ac:dyDescent="0.25">
      <c r="A703" s="1" t="s">
        <v>712</v>
      </c>
      <c r="B703" s="1" t="s">
        <v>1373</v>
      </c>
      <c r="C703" s="1" t="s">
        <v>3</v>
      </c>
      <c r="D703">
        <v>805228</v>
      </c>
      <c r="E703">
        <v>21471</v>
      </c>
      <c r="F703">
        <v>88575</v>
      </c>
      <c r="G703">
        <v>15</v>
      </c>
      <c r="H703" s="4">
        <v>96.499999999999986</v>
      </c>
      <c r="I703" s="2">
        <v>0.6</v>
      </c>
      <c r="J703">
        <v>0</v>
      </c>
      <c r="K703">
        <v>0</v>
      </c>
      <c r="L703">
        <v>0</v>
      </c>
      <c r="M703" s="1" t="s">
        <v>1413</v>
      </c>
      <c r="N703" s="1" t="s">
        <v>1414</v>
      </c>
    </row>
    <row r="704" spans="1:14" x14ac:dyDescent="0.25">
      <c r="A704" s="1" t="s">
        <v>713</v>
      </c>
      <c r="B704" s="1" t="s">
        <v>1200</v>
      </c>
      <c r="C704" s="1" t="s">
        <v>1037</v>
      </c>
      <c r="D704">
        <v>336819</v>
      </c>
      <c r="E704">
        <v>32547</v>
      </c>
      <c r="F704">
        <v>37050</v>
      </c>
      <c r="G704">
        <v>15</v>
      </c>
      <c r="H704" s="4">
        <v>95.200000000000017</v>
      </c>
      <c r="I704" s="2">
        <v>0.66666666666666696</v>
      </c>
      <c r="J704">
        <v>0</v>
      </c>
      <c r="K704">
        <v>0</v>
      </c>
      <c r="L704">
        <v>0</v>
      </c>
      <c r="M704" s="1" t="s">
        <v>1413</v>
      </c>
      <c r="N704" s="1" t="s">
        <v>1414</v>
      </c>
    </row>
    <row r="705" spans="1:14" x14ac:dyDescent="0.25">
      <c r="A705" s="1" t="s">
        <v>714</v>
      </c>
      <c r="B705" s="1" t="s">
        <v>1165</v>
      </c>
      <c r="C705" s="1" t="s">
        <v>12</v>
      </c>
      <c r="D705">
        <v>296795</v>
      </c>
      <c r="E705">
        <v>8554</v>
      </c>
      <c r="F705">
        <v>32647</v>
      </c>
      <c r="G705">
        <v>15</v>
      </c>
      <c r="H705" s="4">
        <v>118.6</v>
      </c>
      <c r="I705" s="2">
        <v>0.93333333333333302</v>
      </c>
      <c r="J705">
        <v>12</v>
      </c>
      <c r="K705">
        <v>1</v>
      </c>
      <c r="L705">
        <v>0</v>
      </c>
      <c r="M705" s="1" t="s">
        <v>1413</v>
      </c>
      <c r="N705" s="1" t="s">
        <v>1414</v>
      </c>
    </row>
    <row r="706" spans="1:14" x14ac:dyDescent="0.25">
      <c r="A706" s="1" t="s">
        <v>715</v>
      </c>
      <c r="B706" s="1" t="s">
        <v>1344</v>
      </c>
      <c r="C706" s="1" t="s">
        <v>1037</v>
      </c>
      <c r="D706">
        <v>490782</v>
      </c>
      <c r="E706">
        <v>64297</v>
      </c>
      <c r="F706">
        <v>53986</v>
      </c>
      <c r="G706">
        <v>15</v>
      </c>
      <c r="H706" s="4">
        <v>117.4</v>
      </c>
      <c r="I706" s="2">
        <v>0.93333333333333302</v>
      </c>
      <c r="J706">
        <v>11</v>
      </c>
      <c r="K706">
        <v>1</v>
      </c>
      <c r="L706">
        <v>0</v>
      </c>
      <c r="M706" s="1" t="s">
        <v>1413</v>
      </c>
      <c r="N706" s="1" t="s">
        <v>1414</v>
      </c>
    </row>
    <row r="707" spans="1:14" x14ac:dyDescent="0.25">
      <c r="A707" s="1" t="s">
        <v>716</v>
      </c>
      <c r="B707" s="1" t="s">
        <v>1374</v>
      </c>
      <c r="C707" s="1" t="s">
        <v>9</v>
      </c>
      <c r="D707">
        <v>282318</v>
      </c>
      <c r="E707">
        <v>48308</v>
      </c>
      <c r="F707">
        <v>31055</v>
      </c>
      <c r="G707">
        <v>15</v>
      </c>
      <c r="H707" s="4">
        <v>110.9</v>
      </c>
      <c r="I707" s="2">
        <v>0.66666666666666696</v>
      </c>
      <c r="J707">
        <v>0</v>
      </c>
      <c r="K707">
        <v>0</v>
      </c>
      <c r="L707">
        <v>0</v>
      </c>
      <c r="M707" s="1" t="s">
        <v>1413</v>
      </c>
      <c r="N707" s="1" t="s">
        <v>1414</v>
      </c>
    </row>
    <row r="708" spans="1:14" x14ac:dyDescent="0.25">
      <c r="A708" s="1" t="s">
        <v>717</v>
      </c>
      <c r="B708" s="1" t="s">
        <v>1154</v>
      </c>
      <c r="C708" s="1" t="s">
        <v>1037</v>
      </c>
      <c r="D708">
        <v>589242</v>
      </c>
      <c r="E708">
        <v>57216</v>
      </c>
      <c r="F708">
        <v>64817</v>
      </c>
      <c r="G708">
        <v>15</v>
      </c>
      <c r="H708" s="4">
        <v>112.80000000000001</v>
      </c>
      <c r="I708" s="2">
        <v>0.86666666666666703</v>
      </c>
      <c r="J708">
        <v>14</v>
      </c>
      <c r="K708">
        <v>1</v>
      </c>
      <c r="L708">
        <v>0</v>
      </c>
      <c r="M708" s="1" t="s">
        <v>1413</v>
      </c>
      <c r="N708" s="1" t="s">
        <v>1414</v>
      </c>
    </row>
    <row r="709" spans="1:14" x14ac:dyDescent="0.25">
      <c r="A709" s="1" t="s">
        <v>718</v>
      </c>
      <c r="B709" s="1" t="s">
        <v>1304</v>
      </c>
      <c r="C709" s="1" t="s">
        <v>7</v>
      </c>
      <c r="D709">
        <v>291568</v>
      </c>
      <c r="E709">
        <v>65528</v>
      </c>
      <c r="F709">
        <v>32072</v>
      </c>
      <c r="G709">
        <v>15</v>
      </c>
      <c r="H709" s="4">
        <v>97.7</v>
      </c>
      <c r="I709" s="2">
        <v>0.73333333333333295</v>
      </c>
      <c r="J709">
        <v>0</v>
      </c>
      <c r="K709">
        <v>0</v>
      </c>
      <c r="L709">
        <v>0</v>
      </c>
      <c r="M709" s="1" t="s">
        <v>1413</v>
      </c>
      <c r="N709" s="1" t="s">
        <v>1414</v>
      </c>
    </row>
    <row r="710" spans="1:14" x14ac:dyDescent="0.25">
      <c r="A710" s="1" t="s">
        <v>719</v>
      </c>
      <c r="B710" s="1" t="s">
        <v>1096</v>
      </c>
      <c r="C710" s="1" t="s">
        <v>12</v>
      </c>
      <c r="D710">
        <v>315016</v>
      </c>
      <c r="E710">
        <v>504</v>
      </c>
      <c r="F710">
        <v>34652</v>
      </c>
      <c r="G710">
        <v>15</v>
      </c>
      <c r="H710" s="4">
        <v>101.2</v>
      </c>
      <c r="I710" s="2">
        <v>0.86666666666666703</v>
      </c>
      <c r="J710">
        <v>0</v>
      </c>
      <c r="K710">
        <v>0</v>
      </c>
      <c r="L710">
        <v>0</v>
      </c>
      <c r="M710" s="1" t="s">
        <v>1413</v>
      </c>
      <c r="N710" s="1" t="s">
        <v>1414</v>
      </c>
    </row>
    <row r="711" spans="1:14" x14ac:dyDescent="0.25">
      <c r="A711" s="1" t="s">
        <v>720</v>
      </c>
      <c r="B711" s="1" t="s">
        <v>1280</v>
      </c>
      <c r="C711" s="1" t="s">
        <v>1037</v>
      </c>
      <c r="D711">
        <v>271088</v>
      </c>
      <c r="E711">
        <v>1241</v>
      </c>
      <c r="F711">
        <v>29820</v>
      </c>
      <c r="G711">
        <v>15</v>
      </c>
      <c r="H711" s="4">
        <v>104.6</v>
      </c>
      <c r="I711" s="2">
        <v>0.8</v>
      </c>
      <c r="J711">
        <v>0</v>
      </c>
      <c r="K711">
        <v>0</v>
      </c>
      <c r="L711">
        <v>0</v>
      </c>
      <c r="M711" s="1" t="s">
        <v>1413</v>
      </c>
      <c r="N711" s="1" t="s">
        <v>1414</v>
      </c>
    </row>
    <row r="712" spans="1:14" x14ac:dyDescent="0.25">
      <c r="A712" s="1" t="s">
        <v>721</v>
      </c>
      <c r="B712" s="1" t="s">
        <v>1375</v>
      </c>
      <c r="C712" s="1" t="s">
        <v>9</v>
      </c>
      <c r="D712">
        <v>782210</v>
      </c>
      <c r="E712">
        <v>83592</v>
      </c>
      <c r="G712">
        <v>15</v>
      </c>
      <c r="H712" s="4">
        <v>110.3</v>
      </c>
      <c r="I712" s="2">
        <v>0.86666666666666703</v>
      </c>
      <c r="J712">
        <v>0</v>
      </c>
      <c r="K712">
        <v>0</v>
      </c>
      <c r="L712">
        <v>0</v>
      </c>
      <c r="M712" s="1" t="s">
        <v>1413</v>
      </c>
      <c r="N712" s="1" t="s">
        <v>1414</v>
      </c>
    </row>
    <row r="713" spans="1:14" x14ac:dyDescent="0.25">
      <c r="A713" s="1" t="s">
        <v>722</v>
      </c>
      <c r="B713" s="1" t="s">
        <v>1075</v>
      </c>
      <c r="C713" s="1" t="s">
        <v>7</v>
      </c>
      <c r="D713">
        <v>736355</v>
      </c>
      <c r="E713">
        <v>12457</v>
      </c>
      <c r="F713">
        <v>80999</v>
      </c>
      <c r="G713">
        <v>15</v>
      </c>
      <c r="H713" s="4">
        <v>92.6</v>
      </c>
      <c r="I713" s="2">
        <v>0.8</v>
      </c>
      <c r="J713">
        <v>0</v>
      </c>
      <c r="K713">
        <v>0</v>
      </c>
      <c r="L713">
        <v>0</v>
      </c>
      <c r="M713" s="1" t="s">
        <v>1413</v>
      </c>
      <c r="N713" s="1" t="s">
        <v>1414</v>
      </c>
    </row>
    <row r="714" spans="1:14" x14ac:dyDescent="0.25">
      <c r="A714" s="1" t="s">
        <v>723</v>
      </c>
      <c r="B714" s="1" t="s">
        <v>1146</v>
      </c>
      <c r="C714" s="1" t="s">
        <v>3</v>
      </c>
      <c r="D714">
        <v>778030</v>
      </c>
      <c r="E714">
        <v>50556</v>
      </c>
      <c r="F714">
        <v>85583</v>
      </c>
      <c r="G714">
        <v>15</v>
      </c>
      <c r="H714" s="4">
        <v>93.4</v>
      </c>
      <c r="I714" s="2">
        <v>0.6</v>
      </c>
      <c r="J714">
        <v>0</v>
      </c>
      <c r="K714">
        <v>0</v>
      </c>
      <c r="L714">
        <v>0</v>
      </c>
      <c r="M714" s="1" t="s">
        <v>1413</v>
      </c>
      <c r="N714" s="1" t="s">
        <v>1414</v>
      </c>
    </row>
    <row r="715" spans="1:14" x14ac:dyDescent="0.25">
      <c r="A715" s="1" t="s">
        <v>724</v>
      </c>
      <c r="B715" s="1" t="s">
        <v>1244</v>
      </c>
      <c r="C715" s="1" t="s">
        <v>37</v>
      </c>
      <c r="D715">
        <v>739650</v>
      </c>
      <c r="E715">
        <v>56370</v>
      </c>
      <c r="F715">
        <v>81362</v>
      </c>
      <c r="G715">
        <v>15</v>
      </c>
      <c r="H715" s="4">
        <v>115.80000000000001</v>
      </c>
      <c r="I715" s="2">
        <v>0.93333333333333302</v>
      </c>
      <c r="J715">
        <v>8</v>
      </c>
      <c r="K715">
        <v>1</v>
      </c>
      <c r="L715">
        <v>0</v>
      </c>
      <c r="M715" s="1" t="s">
        <v>1413</v>
      </c>
      <c r="N715" s="1" t="s">
        <v>1414</v>
      </c>
    </row>
    <row r="716" spans="1:14" x14ac:dyDescent="0.25">
      <c r="A716" s="1" t="s">
        <v>725</v>
      </c>
      <c r="B716" s="1" t="s">
        <v>1199</v>
      </c>
      <c r="C716" s="1" t="s">
        <v>9</v>
      </c>
      <c r="D716">
        <v>240354</v>
      </c>
      <c r="E716">
        <v>70344</v>
      </c>
      <c r="F716">
        <v>26439</v>
      </c>
      <c r="G716">
        <v>15</v>
      </c>
      <c r="H716" s="4">
        <v>93</v>
      </c>
      <c r="I716" s="2">
        <v>0.73333333333333295</v>
      </c>
      <c r="J716">
        <v>11</v>
      </c>
      <c r="K716">
        <v>2</v>
      </c>
      <c r="L716">
        <v>0</v>
      </c>
      <c r="M716" s="1" t="s">
        <v>1413</v>
      </c>
      <c r="N716" s="1" t="s">
        <v>1414</v>
      </c>
    </row>
    <row r="717" spans="1:14" x14ac:dyDescent="0.25">
      <c r="A717" s="1" t="s">
        <v>726</v>
      </c>
      <c r="B717" s="1" t="s">
        <v>1376</v>
      </c>
      <c r="C717" s="1" t="s">
        <v>3</v>
      </c>
      <c r="D717">
        <v>675000</v>
      </c>
      <c r="E717">
        <v>82498</v>
      </c>
      <c r="F717">
        <v>74250</v>
      </c>
      <c r="G717">
        <v>15</v>
      </c>
      <c r="H717" s="4">
        <v>84.500000000000014</v>
      </c>
      <c r="I717" s="2">
        <v>0.73333333333333295</v>
      </c>
      <c r="J717">
        <v>0</v>
      </c>
      <c r="K717">
        <v>0</v>
      </c>
      <c r="L717">
        <v>0</v>
      </c>
      <c r="M717" s="1" t="s">
        <v>1413</v>
      </c>
      <c r="N717" s="1" t="s">
        <v>1414</v>
      </c>
    </row>
    <row r="718" spans="1:14" x14ac:dyDescent="0.25">
      <c r="A718" s="1" t="s">
        <v>727</v>
      </c>
      <c r="B718" s="1" t="s">
        <v>1198</v>
      </c>
      <c r="C718" s="1" t="s">
        <v>1037</v>
      </c>
      <c r="D718">
        <v>534751</v>
      </c>
      <c r="E718">
        <v>31194</v>
      </c>
      <c r="F718">
        <v>58823</v>
      </c>
      <c r="G718">
        <v>15</v>
      </c>
      <c r="H718" s="4">
        <v>104.6</v>
      </c>
      <c r="I718" s="2">
        <v>0.8</v>
      </c>
      <c r="J718">
        <v>0</v>
      </c>
      <c r="K718">
        <v>0</v>
      </c>
      <c r="L718">
        <v>0</v>
      </c>
      <c r="M718" s="1" t="s">
        <v>1413</v>
      </c>
      <c r="N718" s="1" t="s">
        <v>1414</v>
      </c>
    </row>
    <row r="719" spans="1:14" x14ac:dyDescent="0.25">
      <c r="A719" s="1" t="s">
        <v>728</v>
      </c>
      <c r="B719" s="1" t="s">
        <v>1219</v>
      </c>
      <c r="C719" s="1" t="s">
        <v>5</v>
      </c>
      <c r="D719">
        <v>786795</v>
      </c>
      <c r="E719">
        <v>30819</v>
      </c>
      <c r="F719">
        <v>86547</v>
      </c>
      <c r="G719">
        <v>15</v>
      </c>
      <c r="H719" s="4">
        <v>114.20000000000002</v>
      </c>
      <c r="I719" s="2">
        <v>0.86666666666666703</v>
      </c>
      <c r="J719">
        <v>0</v>
      </c>
      <c r="K719">
        <v>0</v>
      </c>
      <c r="L719">
        <v>0</v>
      </c>
      <c r="M719" s="1" t="s">
        <v>1413</v>
      </c>
      <c r="N719" s="1" t="s">
        <v>1414</v>
      </c>
    </row>
    <row r="720" spans="1:14" x14ac:dyDescent="0.25">
      <c r="A720" s="1" t="s">
        <v>729</v>
      </c>
      <c r="B720" s="1" t="s">
        <v>1156</v>
      </c>
      <c r="C720" s="1" t="s">
        <v>5</v>
      </c>
      <c r="D720">
        <v>570262</v>
      </c>
      <c r="E720">
        <v>23349</v>
      </c>
      <c r="F720">
        <v>62729</v>
      </c>
      <c r="G720">
        <v>15</v>
      </c>
      <c r="H720" s="4">
        <v>107.4</v>
      </c>
      <c r="I720" s="2">
        <v>0.86666666666666703</v>
      </c>
      <c r="J720">
        <v>0</v>
      </c>
      <c r="K720">
        <v>0</v>
      </c>
      <c r="L720">
        <v>0</v>
      </c>
      <c r="M720" s="1" t="s">
        <v>1413</v>
      </c>
      <c r="N720" s="1" t="s">
        <v>1414</v>
      </c>
    </row>
    <row r="721" spans="1:14" x14ac:dyDescent="0.25">
      <c r="A721" s="1" t="s">
        <v>730</v>
      </c>
      <c r="B721" s="1" t="s">
        <v>1216</v>
      </c>
      <c r="C721" s="1" t="s">
        <v>27</v>
      </c>
      <c r="D721">
        <v>328925</v>
      </c>
      <c r="E721">
        <v>18786</v>
      </c>
      <c r="F721">
        <v>36182</v>
      </c>
      <c r="G721">
        <v>15</v>
      </c>
      <c r="H721" s="4">
        <v>87.3</v>
      </c>
      <c r="I721" s="2">
        <v>0.73333333333333295</v>
      </c>
      <c r="J721">
        <v>0</v>
      </c>
      <c r="K721">
        <v>0</v>
      </c>
      <c r="L721">
        <v>0</v>
      </c>
      <c r="M721" s="1" t="s">
        <v>1413</v>
      </c>
      <c r="N721" s="1" t="s">
        <v>1414</v>
      </c>
    </row>
    <row r="722" spans="1:14" x14ac:dyDescent="0.25">
      <c r="A722" s="1" t="s">
        <v>731</v>
      </c>
      <c r="B722" s="1" t="s">
        <v>1346</v>
      </c>
      <c r="C722" s="1" t="s">
        <v>1037</v>
      </c>
      <c r="D722">
        <v>669903</v>
      </c>
      <c r="E722">
        <v>56779</v>
      </c>
      <c r="F722">
        <v>73689</v>
      </c>
      <c r="G722">
        <v>15</v>
      </c>
      <c r="H722" s="4">
        <v>91.5</v>
      </c>
      <c r="I722" s="2">
        <v>0.6</v>
      </c>
      <c r="J722">
        <v>12</v>
      </c>
      <c r="K722">
        <v>2</v>
      </c>
      <c r="L722">
        <v>0</v>
      </c>
      <c r="M722" s="1" t="s">
        <v>1413</v>
      </c>
      <c r="N722" s="1" t="s">
        <v>1414</v>
      </c>
    </row>
    <row r="723" spans="1:14" x14ac:dyDescent="0.25">
      <c r="A723" s="1" t="s">
        <v>732</v>
      </c>
      <c r="B723" s="1" t="s">
        <v>1071</v>
      </c>
      <c r="C723" s="1" t="s">
        <v>3</v>
      </c>
      <c r="D723">
        <v>407156</v>
      </c>
      <c r="E723">
        <v>84350</v>
      </c>
      <c r="F723">
        <v>44787</v>
      </c>
      <c r="G723">
        <v>15</v>
      </c>
      <c r="H723" s="4">
        <v>105.49999999999999</v>
      </c>
      <c r="I723" s="2">
        <v>0.86666666666666703</v>
      </c>
      <c r="J723">
        <v>10</v>
      </c>
      <c r="K723">
        <v>1</v>
      </c>
      <c r="L723">
        <v>0</v>
      </c>
      <c r="M723" s="1" t="s">
        <v>1413</v>
      </c>
      <c r="N723" s="1" t="s">
        <v>1414</v>
      </c>
    </row>
    <row r="724" spans="1:14" x14ac:dyDescent="0.25">
      <c r="A724" s="1" t="s">
        <v>733</v>
      </c>
      <c r="B724" s="1" t="s">
        <v>1171</v>
      </c>
      <c r="C724" s="1" t="s">
        <v>12</v>
      </c>
      <c r="D724">
        <v>513770</v>
      </c>
      <c r="E724">
        <v>34029</v>
      </c>
      <c r="F724">
        <v>56515</v>
      </c>
      <c r="G724">
        <v>15</v>
      </c>
      <c r="H724" s="4">
        <v>102.10000000000001</v>
      </c>
      <c r="I724" s="2">
        <v>0.66666666666666696</v>
      </c>
      <c r="J724">
        <v>0</v>
      </c>
      <c r="K724">
        <v>0</v>
      </c>
      <c r="L724">
        <v>0</v>
      </c>
      <c r="M724" s="1" t="s">
        <v>1413</v>
      </c>
      <c r="N724" s="1" t="s">
        <v>1414</v>
      </c>
    </row>
    <row r="725" spans="1:14" x14ac:dyDescent="0.25">
      <c r="A725" s="1" t="s">
        <v>734</v>
      </c>
      <c r="B725" s="1" t="s">
        <v>1083</v>
      </c>
      <c r="C725" s="1" t="s">
        <v>5</v>
      </c>
      <c r="D725">
        <v>472208</v>
      </c>
      <c r="E725">
        <v>73991</v>
      </c>
      <c r="F725">
        <v>51943</v>
      </c>
      <c r="G725">
        <v>15</v>
      </c>
      <c r="H725" s="4">
        <v>104.2</v>
      </c>
      <c r="I725" s="2">
        <v>0.86666666666666703</v>
      </c>
      <c r="J725">
        <v>0</v>
      </c>
      <c r="K725">
        <v>0</v>
      </c>
      <c r="L725">
        <v>0</v>
      </c>
      <c r="M725" s="1" t="s">
        <v>1413</v>
      </c>
      <c r="N725" s="1" t="s">
        <v>1414</v>
      </c>
    </row>
    <row r="726" spans="1:14" x14ac:dyDescent="0.25">
      <c r="A726" s="1" t="s">
        <v>735</v>
      </c>
      <c r="B726" s="1" t="s">
        <v>1297</v>
      </c>
      <c r="C726" s="1" t="s">
        <v>7</v>
      </c>
      <c r="D726">
        <v>671724</v>
      </c>
      <c r="E726">
        <v>9716</v>
      </c>
      <c r="F726">
        <v>73890</v>
      </c>
      <c r="G726">
        <v>15</v>
      </c>
      <c r="H726" s="4">
        <v>96.000000000000014</v>
      </c>
      <c r="I726" s="2">
        <v>0.73333333333333295</v>
      </c>
      <c r="J726">
        <v>25</v>
      </c>
      <c r="K726">
        <v>3</v>
      </c>
      <c r="L726">
        <v>0</v>
      </c>
      <c r="M726" s="1" t="s">
        <v>1413</v>
      </c>
      <c r="N726" s="1" t="s">
        <v>1414</v>
      </c>
    </row>
    <row r="727" spans="1:14" x14ac:dyDescent="0.25">
      <c r="A727" s="1" t="s">
        <v>736</v>
      </c>
      <c r="B727" s="1" t="s">
        <v>1246</v>
      </c>
      <c r="C727" s="1" t="s">
        <v>12</v>
      </c>
      <c r="D727">
        <v>516657</v>
      </c>
      <c r="E727">
        <v>7256</v>
      </c>
      <c r="F727">
        <v>56832</v>
      </c>
      <c r="G727">
        <v>15</v>
      </c>
      <c r="H727" s="4">
        <v>86.399999999999991</v>
      </c>
      <c r="I727" s="2">
        <v>0.66666666666666696</v>
      </c>
      <c r="J727">
        <v>16</v>
      </c>
      <c r="K727">
        <v>2</v>
      </c>
      <c r="L727">
        <v>0</v>
      </c>
      <c r="M727" s="1" t="s">
        <v>1413</v>
      </c>
      <c r="N727" s="1" t="s">
        <v>1414</v>
      </c>
    </row>
    <row r="728" spans="1:14" x14ac:dyDescent="0.25">
      <c r="A728" s="1" t="s">
        <v>737</v>
      </c>
      <c r="B728" s="1" t="s">
        <v>1033</v>
      </c>
      <c r="C728" s="1" t="s">
        <v>12</v>
      </c>
      <c r="D728">
        <v>812812</v>
      </c>
      <c r="E728">
        <v>4436</v>
      </c>
      <c r="F728">
        <v>89409</v>
      </c>
      <c r="G728">
        <v>15</v>
      </c>
      <c r="H728" s="4">
        <v>97</v>
      </c>
      <c r="I728" s="2">
        <v>0.8</v>
      </c>
      <c r="J728">
        <v>0</v>
      </c>
      <c r="K728">
        <v>0</v>
      </c>
      <c r="L728">
        <v>0</v>
      </c>
      <c r="M728" s="1" t="s">
        <v>1413</v>
      </c>
      <c r="N728" s="1" t="s">
        <v>1414</v>
      </c>
    </row>
    <row r="729" spans="1:14" x14ac:dyDescent="0.25">
      <c r="A729" s="1" t="s">
        <v>738</v>
      </c>
      <c r="B729" s="1" t="s">
        <v>1075</v>
      </c>
      <c r="C729" s="1" t="s">
        <v>52</v>
      </c>
      <c r="D729">
        <v>653746</v>
      </c>
      <c r="E729">
        <v>29173</v>
      </c>
      <c r="F729">
        <v>71912</v>
      </c>
      <c r="G729">
        <v>15</v>
      </c>
      <c r="H729" s="4">
        <v>121.3</v>
      </c>
      <c r="I729" s="2">
        <v>0.86666666666666703</v>
      </c>
      <c r="J729">
        <v>0</v>
      </c>
      <c r="K729">
        <v>0</v>
      </c>
      <c r="L729">
        <v>0</v>
      </c>
      <c r="M729" s="1" t="s">
        <v>1413</v>
      </c>
      <c r="N729" s="1" t="s">
        <v>1414</v>
      </c>
    </row>
    <row r="730" spans="1:14" x14ac:dyDescent="0.25">
      <c r="A730" s="1" t="s">
        <v>739</v>
      </c>
      <c r="B730" s="1" t="s">
        <v>1199</v>
      </c>
      <c r="C730" s="1" t="s">
        <v>37</v>
      </c>
      <c r="D730">
        <v>653080</v>
      </c>
      <c r="E730">
        <v>64352</v>
      </c>
      <c r="F730">
        <v>71839</v>
      </c>
      <c r="G730">
        <v>15</v>
      </c>
      <c r="H730" s="4">
        <v>96.399999999999991</v>
      </c>
      <c r="I730" s="2">
        <v>0.73333333333333295</v>
      </c>
      <c r="J730">
        <v>0</v>
      </c>
      <c r="K730">
        <v>0</v>
      </c>
      <c r="L730">
        <v>0</v>
      </c>
      <c r="M730" s="1" t="s">
        <v>1413</v>
      </c>
      <c r="N730" s="1" t="s">
        <v>1414</v>
      </c>
    </row>
    <row r="731" spans="1:14" x14ac:dyDescent="0.25">
      <c r="A731" s="1" t="s">
        <v>740</v>
      </c>
      <c r="B731" s="1" t="s">
        <v>1114</v>
      </c>
      <c r="C731" s="1" t="s">
        <v>3</v>
      </c>
      <c r="D731">
        <v>681886</v>
      </c>
      <c r="E731">
        <v>82329</v>
      </c>
      <c r="F731">
        <v>75007</v>
      </c>
      <c r="G731">
        <v>15</v>
      </c>
      <c r="H731" s="4">
        <v>94.3</v>
      </c>
      <c r="I731" s="2">
        <v>0.6</v>
      </c>
      <c r="J731">
        <v>0</v>
      </c>
      <c r="K731">
        <v>0</v>
      </c>
      <c r="L731">
        <v>0</v>
      </c>
      <c r="M731" s="1" t="s">
        <v>1413</v>
      </c>
      <c r="N731" s="1" t="s">
        <v>1414</v>
      </c>
    </row>
    <row r="732" spans="1:14" x14ac:dyDescent="0.25">
      <c r="A732" s="1" t="s">
        <v>741</v>
      </c>
      <c r="B732" s="1" t="s">
        <v>1282</v>
      </c>
      <c r="C732" s="1" t="s">
        <v>9</v>
      </c>
      <c r="D732">
        <v>708205</v>
      </c>
      <c r="E732">
        <v>62991</v>
      </c>
      <c r="F732">
        <v>77903</v>
      </c>
      <c r="G732">
        <v>15</v>
      </c>
      <c r="H732" s="4">
        <v>81.199999999999989</v>
      </c>
      <c r="I732" s="2">
        <v>0.6</v>
      </c>
      <c r="J732">
        <v>0</v>
      </c>
      <c r="K732">
        <v>0</v>
      </c>
      <c r="L732">
        <v>0</v>
      </c>
      <c r="M732" s="1" t="s">
        <v>1413</v>
      </c>
      <c r="N732" s="1" t="s">
        <v>1414</v>
      </c>
    </row>
    <row r="733" spans="1:14" x14ac:dyDescent="0.25">
      <c r="A733" s="1" t="s">
        <v>742</v>
      </c>
      <c r="B733" s="1" t="s">
        <v>1148</v>
      </c>
      <c r="C733" s="1" t="s">
        <v>9</v>
      </c>
      <c r="D733">
        <v>769377</v>
      </c>
      <c r="E733">
        <v>77715</v>
      </c>
      <c r="F733">
        <v>84631</v>
      </c>
      <c r="G733">
        <v>15</v>
      </c>
      <c r="H733" s="4">
        <v>83.4</v>
      </c>
      <c r="I733" s="2">
        <v>0.6</v>
      </c>
      <c r="J733">
        <v>0</v>
      </c>
      <c r="K733">
        <v>0</v>
      </c>
      <c r="L733">
        <v>0</v>
      </c>
      <c r="M733" s="1" t="s">
        <v>1413</v>
      </c>
      <c r="N733" s="1" t="s">
        <v>1414</v>
      </c>
    </row>
    <row r="734" spans="1:14" x14ac:dyDescent="0.25">
      <c r="A734" s="1" t="s">
        <v>743</v>
      </c>
      <c r="B734" s="1" t="s">
        <v>1055</v>
      </c>
      <c r="C734" s="1" t="s">
        <v>1037</v>
      </c>
      <c r="D734">
        <v>612009</v>
      </c>
      <c r="E734">
        <v>88676</v>
      </c>
      <c r="F734">
        <v>67321</v>
      </c>
      <c r="G734">
        <v>15</v>
      </c>
      <c r="H734" s="4">
        <v>117.00000000000001</v>
      </c>
      <c r="I734" s="2">
        <v>0.93333333333333302</v>
      </c>
      <c r="J734">
        <v>0</v>
      </c>
      <c r="K734">
        <v>0</v>
      </c>
      <c r="L734">
        <v>0</v>
      </c>
      <c r="M734" s="1" t="s">
        <v>1413</v>
      </c>
      <c r="N734" s="1" t="s">
        <v>1414</v>
      </c>
    </row>
    <row r="735" spans="1:14" x14ac:dyDescent="0.25">
      <c r="A735" s="1" t="s">
        <v>744</v>
      </c>
      <c r="B735" s="1" t="s">
        <v>1144</v>
      </c>
      <c r="C735" s="1" t="s">
        <v>27</v>
      </c>
      <c r="D735">
        <v>610287</v>
      </c>
      <c r="E735">
        <v>83664</v>
      </c>
      <c r="F735">
        <v>67132</v>
      </c>
      <c r="G735">
        <v>15</v>
      </c>
      <c r="H735" s="4">
        <v>95</v>
      </c>
      <c r="I735" s="2">
        <v>0.73333333333333295</v>
      </c>
      <c r="J735">
        <v>0</v>
      </c>
      <c r="K735">
        <v>0</v>
      </c>
      <c r="L735">
        <v>0</v>
      </c>
      <c r="M735" s="1" t="s">
        <v>1413</v>
      </c>
      <c r="N735" s="1" t="s">
        <v>1414</v>
      </c>
    </row>
    <row r="736" spans="1:14" x14ac:dyDescent="0.25">
      <c r="A736" s="1" t="s">
        <v>745</v>
      </c>
      <c r="B736" s="1" t="s">
        <v>1314</v>
      </c>
      <c r="C736" s="1" t="s">
        <v>37</v>
      </c>
      <c r="D736">
        <v>425925</v>
      </c>
      <c r="E736">
        <v>35639</v>
      </c>
      <c r="F736">
        <v>46852</v>
      </c>
      <c r="G736">
        <v>15</v>
      </c>
      <c r="H736" s="4">
        <v>71.8</v>
      </c>
      <c r="I736" s="2">
        <v>0.53333333333333299</v>
      </c>
      <c r="J736">
        <v>0</v>
      </c>
      <c r="K736">
        <v>0</v>
      </c>
      <c r="L736">
        <v>0</v>
      </c>
      <c r="M736" s="1" t="s">
        <v>1413</v>
      </c>
      <c r="N736" s="1" t="s">
        <v>1414</v>
      </c>
    </row>
    <row r="737" spans="1:14" x14ac:dyDescent="0.25">
      <c r="A737" s="1" t="s">
        <v>746</v>
      </c>
      <c r="B737" s="1" t="s">
        <v>1333</v>
      </c>
      <c r="C737" s="1" t="s">
        <v>5</v>
      </c>
      <c r="D737">
        <v>819645</v>
      </c>
      <c r="E737">
        <v>72799</v>
      </c>
      <c r="F737">
        <v>90161</v>
      </c>
      <c r="G737">
        <v>15</v>
      </c>
      <c r="H737" s="4">
        <v>105.60000000000001</v>
      </c>
      <c r="I737" s="2">
        <v>0.86666666666666703</v>
      </c>
      <c r="J737">
        <v>0</v>
      </c>
      <c r="K737">
        <v>0</v>
      </c>
      <c r="L737">
        <v>0</v>
      </c>
      <c r="M737" s="1" t="s">
        <v>1413</v>
      </c>
      <c r="N737" s="1" t="s">
        <v>1414</v>
      </c>
    </row>
    <row r="738" spans="1:14" x14ac:dyDescent="0.25">
      <c r="A738" s="1" t="s">
        <v>747</v>
      </c>
      <c r="B738" s="1" t="s">
        <v>1355</v>
      </c>
      <c r="C738" s="1" t="s">
        <v>37</v>
      </c>
      <c r="D738">
        <v>541029</v>
      </c>
      <c r="E738">
        <v>36749</v>
      </c>
      <c r="F738">
        <v>59513</v>
      </c>
      <c r="G738">
        <v>15</v>
      </c>
      <c r="H738" s="4">
        <v>103.00000000000001</v>
      </c>
      <c r="I738" s="2">
        <v>0.66666666666666696</v>
      </c>
      <c r="J738">
        <v>0</v>
      </c>
      <c r="K738">
        <v>0</v>
      </c>
      <c r="L738">
        <v>0</v>
      </c>
      <c r="M738" s="1" t="s">
        <v>1413</v>
      </c>
      <c r="N738" s="1" t="s">
        <v>1414</v>
      </c>
    </row>
    <row r="739" spans="1:14" x14ac:dyDescent="0.25">
      <c r="A739" s="1" t="s">
        <v>748</v>
      </c>
      <c r="B739" s="1" t="s">
        <v>1235</v>
      </c>
      <c r="C739" s="1" t="s">
        <v>9</v>
      </c>
      <c r="D739">
        <v>309918</v>
      </c>
      <c r="E739">
        <v>72110</v>
      </c>
      <c r="F739">
        <v>34091</v>
      </c>
      <c r="G739">
        <v>15</v>
      </c>
      <c r="H739" s="4">
        <v>102.89999999999999</v>
      </c>
      <c r="I739" s="2">
        <v>0.66666666666666696</v>
      </c>
      <c r="J739">
        <v>6</v>
      </c>
      <c r="K739">
        <v>1</v>
      </c>
      <c r="L739">
        <v>0</v>
      </c>
      <c r="M739" s="1" t="s">
        <v>1413</v>
      </c>
      <c r="N739" s="1" t="s">
        <v>1414</v>
      </c>
    </row>
    <row r="740" spans="1:14" x14ac:dyDescent="0.25">
      <c r="A740" s="1" t="s">
        <v>749</v>
      </c>
      <c r="B740" s="1" t="s">
        <v>1201</v>
      </c>
      <c r="C740" s="1" t="s">
        <v>7</v>
      </c>
      <c r="D740">
        <v>504428</v>
      </c>
      <c r="E740">
        <v>18980</v>
      </c>
      <c r="F740">
        <v>55487</v>
      </c>
      <c r="G740">
        <v>15</v>
      </c>
      <c r="H740" s="4">
        <v>74.2</v>
      </c>
      <c r="I740" s="2">
        <v>0.53333333333333299</v>
      </c>
      <c r="J740">
        <v>3</v>
      </c>
      <c r="K740">
        <v>1</v>
      </c>
      <c r="L740">
        <v>0</v>
      </c>
      <c r="M740" s="1" t="s">
        <v>1413</v>
      </c>
      <c r="N740" s="1" t="s">
        <v>1414</v>
      </c>
    </row>
    <row r="741" spans="1:14" x14ac:dyDescent="0.25">
      <c r="A741" s="1" t="s">
        <v>750</v>
      </c>
      <c r="B741" s="1" t="s">
        <v>1238</v>
      </c>
      <c r="C741" s="1" t="s">
        <v>9</v>
      </c>
      <c r="D741">
        <v>782877</v>
      </c>
      <c r="E741">
        <v>35325</v>
      </c>
      <c r="F741">
        <v>86116</v>
      </c>
      <c r="G741">
        <v>15</v>
      </c>
      <c r="H741" s="4">
        <v>87.699999999999989</v>
      </c>
      <c r="I741" s="2">
        <v>0.73333333333333295</v>
      </c>
      <c r="J741">
        <v>0</v>
      </c>
      <c r="K741">
        <v>0</v>
      </c>
      <c r="L741">
        <v>0</v>
      </c>
      <c r="M741" s="1" t="s">
        <v>1413</v>
      </c>
      <c r="N741" s="1" t="s">
        <v>1414</v>
      </c>
    </row>
    <row r="742" spans="1:14" x14ac:dyDescent="0.25">
      <c r="A742" s="1" t="s">
        <v>751</v>
      </c>
      <c r="B742" s="1" t="s">
        <v>1053</v>
      </c>
      <c r="C742" s="1" t="s">
        <v>1037</v>
      </c>
      <c r="D742">
        <v>823899</v>
      </c>
      <c r="E742">
        <v>10978</v>
      </c>
      <c r="F742">
        <v>90629</v>
      </c>
      <c r="G742">
        <v>15</v>
      </c>
      <c r="H742" s="4">
        <v>87.8</v>
      </c>
      <c r="I742" s="2">
        <v>0.46666666666666701</v>
      </c>
      <c r="J742">
        <v>24</v>
      </c>
      <c r="K742">
        <v>2</v>
      </c>
      <c r="L742">
        <v>0</v>
      </c>
      <c r="M742" s="1" t="s">
        <v>1413</v>
      </c>
      <c r="N742" s="1" t="s">
        <v>1414</v>
      </c>
    </row>
    <row r="743" spans="1:14" x14ac:dyDescent="0.25">
      <c r="A743" s="1" t="s">
        <v>752</v>
      </c>
      <c r="B743" s="1" t="s">
        <v>1249</v>
      </c>
      <c r="C743" s="1" t="s">
        <v>1117</v>
      </c>
      <c r="D743">
        <v>251924</v>
      </c>
      <c r="E743">
        <v>44817</v>
      </c>
      <c r="F743">
        <v>27712</v>
      </c>
      <c r="G743">
        <v>15</v>
      </c>
      <c r="H743" s="4">
        <v>111</v>
      </c>
      <c r="I743" s="2">
        <v>0.86666666666666703</v>
      </c>
      <c r="J743">
        <v>11</v>
      </c>
      <c r="K743">
        <v>1</v>
      </c>
      <c r="L743">
        <v>0</v>
      </c>
      <c r="M743" s="1" t="s">
        <v>1413</v>
      </c>
      <c r="N743" s="1" t="s">
        <v>1414</v>
      </c>
    </row>
    <row r="744" spans="1:14" x14ac:dyDescent="0.25">
      <c r="A744" s="1" t="s">
        <v>753</v>
      </c>
      <c r="B744" s="1" t="s">
        <v>1119</v>
      </c>
      <c r="C744" s="1" t="s">
        <v>23</v>
      </c>
      <c r="D744">
        <v>339799</v>
      </c>
      <c r="E744">
        <v>60152</v>
      </c>
      <c r="F744">
        <v>37378</v>
      </c>
      <c r="G744">
        <v>15</v>
      </c>
      <c r="H744" s="4">
        <v>124.39999999999999</v>
      </c>
      <c r="I744" s="2">
        <v>0.8</v>
      </c>
      <c r="J744">
        <v>0</v>
      </c>
      <c r="K744">
        <v>0</v>
      </c>
      <c r="L744">
        <v>0</v>
      </c>
      <c r="M744" s="1" t="s">
        <v>1413</v>
      </c>
      <c r="N744" s="1" t="s">
        <v>1414</v>
      </c>
    </row>
    <row r="745" spans="1:14" x14ac:dyDescent="0.25">
      <c r="A745" s="1" t="s">
        <v>754</v>
      </c>
      <c r="B745" s="1" t="s">
        <v>1064</v>
      </c>
      <c r="C745" s="1" t="s">
        <v>3</v>
      </c>
      <c r="D745">
        <v>306557</v>
      </c>
      <c r="E745">
        <v>22655</v>
      </c>
      <c r="F745">
        <v>33721</v>
      </c>
      <c r="G745">
        <v>15</v>
      </c>
      <c r="H745" s="4">
        <v>98.899999999999991</v>
      </c>
      <c r="I745" s="2">
        <v>0.6</v>
      </c>
      <c r="J745">
        <v>0</v>
      </c>
      <c r="K745">
        <v>0</v>
      </c>
      <c r="L745">
        <v>0</v>
      </c>
      <c r="M745" s="1" t="s">
        <v>1413</v>
      </c>
      <c r="N745" s="1" t="s">
        <v>1414</v>
      </c>
    </row>
    <row r="746" spans="1:14" x14ac:dyDescent="0.25">
      <c r="A746" s="1" t="s">
        <v>755</v>
      </c>
      <c r="B746" s="1" t="s">
        <v>1377</v>
      </c>
      <c r="C746" s="1" t="s">
        <v>23</v>
      </c>
      <c r="D746">
        <v>555319</v>
      </c>
      <c r="E746">
        <v>76491</v>
      </c>
      <c r="F746">
        <v>61085</v>
      </c>
      <c r="G746">
        <v>15</v>
      </c>
      <c r="H746" s="4">
        <v>121.69999999999997</v>
      </c>
      <c r="I746" s="2">
        <v>0.86666666666666703</v>
      </c>
      <c r="J746">
        <v>17</v>
      </c>
      <c r="K746">
        <v>2</v>
      </c>
      <c r="L746">
        <v>0</v>
      </c>
      <c r="M746" s="1" t="s">
        <v>1413</v>
      </c>
      <c r="N746" s="1" t="s">
        <v>1414</v>
      </c>
    </row>
    <row r="747" spans="1:14" x14ac:dyDescent="0.25">
      <c r="A747" s="1" t="s">
        <v>756</v>
      </c>
      <c r="B747" s="1" t="s">
        <v>1299</v>
      </c>
      <c r="C747" s="1" t="s">
        <v>23</v>
      </c>
      <c r="D747">
        <v>792805</v>
      </c>
      <c r="E747">
        <v>28849</v>
      </c>
      <c r="F747">
        <v>87209</v>
      </c>
      <c r="G747">
        <v>15</v>
      </c>
      <c r="H747" s="4">
        <v>109.40000000000002</v>
      </c>
      <c r="I747" s="2">
        <v>0.8</v>
      </c>
      <c r="J747">
        <v>0</v>
      </c>
      <c r="K747">
        <v>0</v>
      </c>
      <c r="L747">
        <v>0</v>
      </c>
      <c r="M747" s="1" t="s">
        <v>1413</v>
      </c>
      <c r="N747" s="1" t="s">
        <v>1414</v>
      </c>
    </row>
    <row r="748" spans="1:14" x14ac:dyDescent="0.25">
      <c r="A748" s="1" t="s">
        <v>757</v>
      </c>
      <c r="B748" s="1" t="s">
        <v>1336</v>
      </c>
      <c r="C748" s="1" t="s">
        <v>37</v>
      </c>
      <c r="D748">
        <v>627628</v>
      </c>
      <c r="E748">
        <v>2080</v>
      </c>
      <c r="F748">
        <v>69039</v>
      </c>
      <c r="G748">
        <v>15</v>
      </c>
      <c r="H748" s="4">
        <v>80.599999999999994</v>
      </c>
      <c r="I748" s="2">
        <v>0.6</v>
      </c>
      <c r="J748">
        <v>0</v>
      </c>
      <c r="K748">
        <v>0</v>
      </c>
      <c r="L748">
        <v>0</v>
      </c>
      <c r="M748" s="1" t="s">
        <v>1413</v>
      </c>
      <c r="N748" s="1" t="s">
        <v>1414</v>
      </c>
    </row>
    <row r="749" spans="1:14" x14ac:dyDescent="0.25">
      <c r="A749" s="1" t="s">
        <v>758</v>
      </c>
      <c r="B749" s="1" t="s">
        <v>1134</v>
      </c>
      <c r="C749" s="1" t="s">
        <v>9</v>
      </c>
      <c r="D749">
        <v>528718</v>
      </c>
      <c r="E749">
        <v>27424</v>
      </c>
      <c r="F749">
        <v>58159</v>
      </c>
      <c r="G749">
        <v>15</v>
      </c>
      <c r="H749" s="4">
        <v>107.2</v>
      </c>
      <c r="I749" s="2">
        <v>0.66666666666666696</v>
      </c>
      <c r="J749">
        <v>0</v>
      </c>
      <c r="K749">
        <v>0</v>
      </c>
      <c r="L749">
        <v>0</v>
      </c>
      <c r="M749" s="1" t="s">
        <v>1413</v>
      </c>
      <c r="N749" s="1" t="s">
        <v>1414</v>
      </c>
    </row>
    <row r="750" spans="1:14" x14ac:dyDescent="0.25">
      <c r="A750" s="1" t="s">
        <v>759</v>
      </c>
      <c r="B750" s="1" t="s">
        <v>1337</v>
      </c>
      <c r="C750" s="1" t="s">
        <v>7</v>
      </c>
      <c r="D750">
        <v>520600</v>
      </c>
      <c r="E750">
        <v>64959</v>
      </c>
      <c r="F750">
        <v>57266</v>
      </c>
      <c r="G750">
        <v>15</v>
      </c>
      <c r="H750" s="4">
        <v>88.3</v>
      </c>
      <c r="I750" s="2">
        <v>0.6</v>
      </c>
      <c r="J750">
        <v>0</v>
      </c>
      <c r="K750">
        <v>0</v>
      </c>
      <c r="L750">
        <v>0</v>
      </c>
      <c r="M750" s="1" t="s">
        <v>1413</v>
      </c>
      <c r="N750" s="1" t="s">
        <v>1414</v>
      </c>
    </row>
    <row r="751" spans="1:14" x14ac:dyDescent="0.25">
      <c r="A751" s="1" t="s">
        <v>760</v>
      </c>
      <c r="B751" s="1" t="s">
        <v>1122</v>
      </c>
      <c r="C751" s="1" t="s">
        <v>1037</v>
      </c>
      <c r="D751">
        <v>254279</v>
      </c>
      <c r="E751">
        <v>15461</v>
      </c>
      <c r="F751">
        <v>27971</v>
      </c>
      <c r="G751">
        <v>15</v>
      </c>
      <c r="H751" s="4">
        <v>114.8</v>
      </c>
      <c r="I751" s="2">
        <v>0.8</v>
      </c>
      <c r="J751">
        <v>8</v>
      </c>
      <c r="K751">
        <v>1</v>
      </c>
      <c r="L751">
        <v>0</v>
      </c>
      <c r="M751" s="1" t="s">
        <v>1413</v>
      </c>
      <c r="N751" s="1" t="s">
        <v>1414</v>
      </c>
    </row>
    <row r="752" spans="1:14" x14ac:dyDescent="0.25">
      <c r="A752" s="1" t="s">
        <v>761</v>
      </c>
      <c r="B752" s="1" t="s">
        <v>1204</v>
      </c>
      <c r="C752" s="1" t="s">
        <v>52</v>
      </c>
      <c r="D752">
        <v>271507</v>
      </c>
      <c r="E752">
        <v>9373</v>
      </c>
      <c r="F752">
        <v>29866</v>
      </c>
      <c r="G752">
        <v>15</v>
      </c>
      <c r="H752" s="4">
        <v>82.100000000000009</v>
      </c>
      <c r="I752" s="2">
        <v>0.66666666666666696</v>
      </c>
      <c r="J752">
        <v>11</v>
      </c>
      <c r="K752">
        <v>1</v>
      </c>
      <c r="L752">
        <v>0</v>
      </c>
      <c r="M752" s="1" t="s">
        <v>1413</v>
      </c>
      <c r="N752" s="1" t="s">
        <v>1414</v>
      </c>
    </row>
    <row r="753" spans="1:14" x14ac:dyDescent="0.25">
      <c r="A753" s="1" t="s">
        <v>762</v>
      </c>
      <c r="B753" s="1" t="s">
        <v>1133</v>
      </c>
      <c r="C753" s="1" t="s">
        <v>27</v>
      </c>
      <c r="D753">
        <v>772045</v>
      </c>
      <c r="E753">
        <v>76454</v>
      </c>
      <c r="F753">
        <v>84925</v>
      </c>
      <c r="G753">
        <v>15</v>
      </c>
      <c r="H753" s="4">
        <v>123.10000000000001</v>
      </c>
      <c r="I753" s="2">
        <v>0.93333333333333302</v>
      </c>
      <c r="J753">
        <v>0</v>
      </c>
      <c r="K753">
        <v>0</v>
      </c>
      <c r="L753">
        <v>0</v>
      </c>
      <c r="M753" s="1" t="s">
        <v>1413</v>
      </c>
      <c r="N753" s="1" t="s">
        <v>1414</v>
      </c>
    </row>
    <row r="754" spans="1:14" x14ac:dyDescent="0.25">
      <c r="A754" s="1" t="s">
        <v>763</v>
      </c>
      <c r="B754" s="1" t="s">
        <v>1143</v>
      </c>
      <c r="C754" s="1" t="s">
        <v>3</v>
      </c>
      <c r="D754">
        <v>268633</v>
      </c>
      <c r="E754">
        <v>84774</v>
      </c>
      <c r="F754">
        <v>29550</v>
      </c>
      <c r="G754">
        <v>15</v>
      </c>
      <c r="H754" s="4">
        <v>105.49999999999999</v>
      </c>
      <c r="I754" s="2">
        <v>0.73333333333333295</v>
      </c>
      <c r="J754">
        <v>16</v>
      </c>
      <c r="K754">
        <v>2</v>
      </c>
      <c r="L754">
        <v>0</v>
      </c>
      <c r="M754" s="1" t="s">
        <v>1413</v>
      </c>
      <c r="N754" s="1" t="s">
        <v>1414</v>
      </c>
    </row>
    <row r="755" spans="1:14" x14ac:dyDescent="0.25">
      <c r="A755" s="1" t="s">
        <v>764</v>
      </c>
      <c r="B755" s="1" t="s">
        <v>1033</v>
      </c>
      <c r="C755" s="1" t="s">
        <v>52</v>
      </c>
      <c r="D755">
        <v>775726</v>
      </c>
      <c r="E755">
        <v>35362</v>
      </c>
      <c r="F755">
        <v>85330</v>
      </c>
      <c r="G755">
        <v>15</v>
      </c>
      <c r="H755" s="4">
        <v>112.5</v>
      </c>
      <c r="I755" s="2">
        <v>0.66666666666666696</v>
      </c>
      <c r="J755">
        <v>0</v>
      </c>
      <c r="K755">
        <v>0</v>
      </c>
      <c r="L755">
        <v>0</v>
      </c>
      <c r="M755" s="1" t="s">
        <v>1413</v>
      </c>
      <c r="N755" s="1" t="s">
        <v>1414</v>
      </c>
    </row>
    <row r="756" spans="1:14" x14ac:dyDescent="0.25">
      <c r="A756" s="1" t="s">
        <v>765</v>
      </c>
      <c r="B756" s="1" t="s">
        <v>1378</v>
      </c>
      <c r="C756" s="1" t="s">
        <v>3</v>
      </c>
      <c r="D756">
        <v>775439</v>
      </c>
      <c r="E756">
        <v>12695</v>
      </c>
      <c r="F756">
        <v>85298</v>
      </c>
      <c r="G756">
        <v>14</v>
      </c>
      <c r="H756" s="4">
        <v>86.7</v>
      </c>
      <c r="I756" s="2">
        <v>0.71428571428571397</v>
      </c>
      <c r="J756">
        <v>0</v>
      </c>
      <c r="K756">
        <v>0</v>
      </c>
      <c r="L756">
        <v>0</v>
      </c>
      <c r="M756" s="1" t="s">
        <v>1413</v>
      </c>
      <c r="N756" s="1" t="s">
        <v>1414</v>
      </c>
    </row>
    <row r="757" spans="1:14" x14ac:dyDescent="0.25">
      <c r="A757" s="1" t="s">
        <v>766</v>
      </c>
      <c r="B757" s="1" t="s">
        <v>1038</v>
      </c>
      <c r="C757" s="1" t="s">
        <v>12</v>
      </c>
      <c r="D757">
        <v>794535</v>
      </c>
      <c r="E757">
        <v>62343</v>
      </c>
      <c r="F757">
        <v>87399</v>
      </c>
      <c r="G757">
        <v>15</v>
      </c>
      <c r="H757" s="4">
        <v>105.30000000000001</v>
      </c>
      <c r="I757" s="2">
        <v>0.73333333333333295</v>
      </c>
      <c r="J757">
        <v>0</v>
      </c>
      <c r="K757">
        <v>0</v>
      </c>
      <c r="L757">
        <v>0</v>
      </c>
      <c r="M757" s="1" t="s">
        <v>1413</v>
      </c>
      <c r="N757" s="1" t="s">
        <v>1414</v>
      </c>
    </row>
    <row r="758" spans="1:14" x14ac:dyDescent="0.25">
      <c r="A758" s="1" t="s">
        <v>767</v>
      </c>
      <c r="B758" s="1" t="s">
        <v>1082</v>
      </c>
      <c r="C758" s="1" t="s">
        <v>5</v>
      </c>
      <c r="D758">
        <v>393977</v>
      </c>
      <c r="E758">
        <v>20000</v>
      </c>
      <c r="F758">
        <v>43337</v>
      </c>
      <c r="G758">
        <v>15</v>
      </c>
      <c r="H758" s="4">
        <v>108.79999999999998</v>
      </c>
      <c r="I758" s="2">
        <v>0.8</v>
      </c>
      <c r="J758">
        <v>0</v>
      </c>
      <c r="K758">
        <v>0</v>
      </c>
      <c r="L758">
        <v>0</v>
      </c>
      <c r="M758" s="1" t="s">
        <v>1413</v>
      </c>
      <c r="N758" s="1" t="s">
        <v>1414</v>
      </c>
    </row>
    <row r="759" spans="1:14" x14ac:dyDescent="0.25">
      <c r="A759" s="1" t="s">
        <v>768</v>
      </c>
      <c r="B759" s="1" t="s">
        <v>1151</v>
      </c>
      <c r="C759" s="1" t="s">
        <v>5</v>
      </c>
      <c r="D759">
        <v>456210</v>
      </c>
      <c r="E759">
        <v>41437</v>
      </c>
      <c r="F759">
        <v>50183</v>
      </c>
      <c r="G759">
        <v>15</v>
      </c>
      <c r="H759" s="4">
        <v>122.69999999999999</v>
      </c>
      <c r="I759" s="2">
        <v>0.8</v>
      </c>
      <c r="J759">
        <v>0</v>
      </c>
      <c r="K759">
        <v>0</v>
      </c>
      <c r="L759">
        <v>0</v>
      </c>
      <c r="M759" s="1" t="s">
        <v>1413</v>
      </c>
      <c r="N759" s="1" t="s">
        <v>1414</v>
      </c>
    </row>
    <row r="760" spans="1:14" x14ac:dyDescent="0.25">
      <c r="A760" s="1" t="s">
        <v>769</v>
      </c>
      <c r="B760" s="1" t="s">
        <v>1136</v>
      </c>
      <c r="C760" s="1" t="s">
        <v>9</v>
      </c>
      <c r="D760">
        <v>732236</v>
      </c>
      <c r="E760">
        <v>67078</v>
      </c>
      <c r="F760">
        <v>80546</v>
      </c>
      <c r="G760">
        <v>15</v>
      </c>
      <c r="H760" s="4">
        <v>112.19999999999999</v>
      </c>
      <c r="I760" s="2">
        <v>0.93333333333333302</v>
      </c>
      <c r="J760">
        <v>4</v>
      </c>
      <c r="K760">
        <v>1</v>
      </c>
      <c r="L760">
        <v>0</v>
      </c>
      <c r="M760" s="1" t="s">
        <v>1413</v>
      </c>
      <c r="N760" s="1" t="s">
        <v>1414</v>
      </c>
    </row>
    <row r="761" spans="1:14" x14ac:dyDescent="0.25">
      <c r="A761" s="1" t="s">
        <v>770</v>
      </c>
      <c r="B761" s="1" t="s">
        <v>1308</v>
      </c>
      <c r="C761" s="1" t="s">
        <v>23</v>
      </c>
      <c r="D761">
        <v>699216</v>
      </c>
      <c r="E761">
        <v>77153</v>
      </c>
      <c r="F761">
        <v>76914</v>
      </c>
      <c r="G761">
        <v>15</v>
      </c>
      <c r="H761" s="4">
        <v>88.9</v>
      </c>
      <c r="I761" s="2">
        <v>0.66666666666666696</v>
      </c>
      <c r="J761">
        <v>18</v>
      </c>
      <c r="K761">
        <v>2</v>
      </c>
      <c r="L761">
        <v>0</v>
      </c>
      <c r="M761" s="1" t="s">
        <v>1413</v>
      </c>
      <c r="N761" s="1" t="s">
        <v>1414</v>
      </c>
    </row>
    <row r="762" spans="1:14" x14ac:dyDescent="0.25">
      <c r="A762" s="1" t="s">
        <v>771</v>
      </c>
      <c r="B762" s="1" t="s">
        <v>1359</v>
      </c>
      <c r="C762" s="1" t="s">
        <v>52</v>
      </c>
      <c r="D762">
        <v>790015</v>
      </c>
      <c r="E762">
        <v>11790</v>
      </c>
      <c r="F762">
        <v>86902</v>
      </c>
      <c r="G762">
        <v>15</v>
      </c>
      <c r="H762" s="4">
        <v>104.60000000000001</v>
      </c>
      <c r="I762" s="2">
        <v>0.8</v>
      </c>
      <c r="J762">
        <v>0</v>
      </c>
      <c r="K762">
        <v>0</v>
      </c>
      <c r="L762">
        <v>0</v>
      </c>
      <c r="M762" s="1" t="s">
        <v>1413</v>
      </c>
      <c r="N762" s="1" t="s">
        <v>1414</v>
      </c>
    </row>
    <row r="763" spans="1:14" x14ac:dyDescent="0.25">
      <c r="A763" s="1" t="s">
        <v>772</v>
      </c>
      <c r="B763" s="1" t="s">
        <v>1377</v>
      </c>
      <c r="C763" s="1" t="s">
        <v>9</v>
      </c>
      <c r="D763">
        <v>425687</v>
      </c>
      <c r="E763">
        <v>24451</v>
      </c>
      <c r="F763">
        <v>46826</v>
      </c>
      <c r="G763">
        <v>15</v>
      </c>
      <c r="H763" s="4">
        <v>101.80000000000001</v>
      </c>
      <c r="I763" s="2">
        <v>0.53333333333333299</v>
      </c>
      <c r="J763">
        <v>11</v>
      </c>
      <c r="K763">
        <v>1</v>
      </c>
      <c r="L763">
        <v>0</v>
      </c>
      <c r="M763" s="1" t="s">
        <v>1413</v>
      </c>
      <c r="N763" s="1" t="s">
        <v>1414</v>
      </c>
    </row>
    <row r="764" spans="1:14" x14ac:dyDescent="0.25">
      <c r="A764" s="1" t="s">
        <v>773</v>
      </c>
      <c r="B764" s="1" t="s">
        <v>1269</v>
      </c>
      <c r="C764" s="1" t="s">
        <v>23</v>
      </c>
      <c r="D764">
        <v>648839</v>
      </c>
      <c r="E764">
        <v>59001</v>
      </c>
      <c r="F764">
        <v>71372</v>
      </c>
      <c r="G764">
        <v>15</v>
      </c>
      <c r="H764" s="4">
        <v>109.99999999999999</v>
      </c>
      <c r="I764" s="2">
        <v>0.73333333333333295</v>
      </c>
      <c r="J764">
        <v>3</v>
      </c>
      <c r="K764">
        <v>1</v>
      </c>
      <c r="L764">
        <v>0</v>
      </c>
      <c r="M764" s="1" t="s">
        <v>1413</v>
      </c>
      <c r="N764" s="1" t="s">
        <v>1414</v>
      </c>
    </row>
    <row r="765" spans="1:14" x14ac:dyDescent="0.25">
      <c r="A765" s="1" t="s">
        <v>774</v>
      </c>
      <c r="B765" s="1" t="s">
        <v>1075</v>
      </c>
      <c r="C765" s="1" t="s">
        <v>37</v>
      </c>
      <c r="D765">
        <v>783480</v>
      </c>
      <c r="E765">
        <v>44334</v>
      </c>
      <c r="F765">
        <v>86183</v>
      </c>
      <c r="G765">
        <v>15</v>
      </c>
      <c r="H765" s="4">
        <v>121.80000000000001</v>
      </c>
      <c r="I765" s="2">
        <v>0.73333333333333295</v>
      </c>
      <c r="J765">
        <v>0</v>
      </c>
      <c r="K765">
        <v>0</v>
      </c>
      <c r="L765">
        <v>0</v>
      </c>
      <c r="M765" s="1" t="s">
        <v>1413</v>
      </c>
      <c r="N765" s="1" t="s">
        <v>1414</v>
      </c>
    </row>
    <row r="766" spans="1:14" x14ac:dyDescent="0.25">
      <c r="A766" s="1" t="s">
        <v>775</v>
      </c>
      <c r="B766" s="1" t="s">
        <v>1303</v>
      </c>
      <c r="C766" s="1" t="s">
        <v>9</v>
      </c>
      <c r="D766">
        <v>221642</v>
      </c>
      <c r="E766">
        <v>32226</v>
      </c>
      <c r="F766">
        <v>24381</v>
      </c>
      <c r="G766">
        <v>14</v>
      </c>
      <c r="H766" s="4">
        <v>100.10000000000001</v>
      </c>
      <c r="I766" s="2">
        <v>0.85714285714285698</v>
      </c>
      <c r="J766">
        <v>14</v>
      </c>
      <c r="K766">
        <v>1</v>
      </c>
      <c r="L766">
        <v>0</v>
      </c>
      <c r="M766" s="1" t="s">
        <v>1413</v>
      </c>
      <c r="N766" s="1" t="s">
        <v>1414</v>
      </c>
    </row>
    <row r="767" spans="1:14" x14ac:dyDescent="0.25">
      <c r="A767" s="1" t="s">
        <v>776</v>
      </c>
      <c r="B767" s="1" t="s">
        <v>1104</v>
      </c>
      <c r="C767" s="1" t="s">
        <v>27</v>
      </c>
      <c r="D767">
        <v>486248</v>
      </c>
      <c r="E767">
        <v>78712</v>
      </c>
      <c r="F767">
        <v>53487</v>
      </c>
      <c r="G767">
        <v>15</v>
      </c>
      <c r="H767" s="4">
        <v>101.1</v>
      </c>
      <c r="I767" s="2">
        <v>0.86666666666666703</v>
      </c>
      <c r="J767">
        <v>8</v>
      </c>
      <c r="K767">
        <v>1</v>
      </c>
      <c r="L767">
        <v>0</v>
      </c>
      <c r="M767" s="1" t="s">
        <v>1413</v>
      </c>
      <c r="N767" s="1" t="s">
        <v>1414</v>
      </c>
    </row>
    <row r="768" spans="1:14" x14ac:dyDescent="0.25">
      <c r="A768" s="1" t="s">
        <v>777</v>
      </c>
      <c r="B768" s="1" t="s">
        <v>1118</v>
      </c>
      <c r="C768" s="1" t="s">
        <v>3</v>
      </c>
      <c r="D768">
        <v>527113</v>
      </c>
      <c r="E768">
        <v>79205</v>
      </c>
      <c r="F768">
        <v>57982</v>
      </c>
      <c r="G768">
        <v>15</v>
      </c>
      <c r="H768" s="4">
        <v>112.6</v>
      </c>
      <c r="I768" s="2">
        <v>0.93333333333333302</v>
      </c>
      <c r="J768">
        <v>0</v>
      </c>
      <c r="K768">
        <v>0</v>
      </c>
      <c r="L768">
        <v>0</v>
      </c>
      <c r="M768" s="1" t="s">
        <v>1413</v>
      </c>
      <c r="N768" s="1" t="s">
        <v>1414</v>
      </c>
    </row>
    <row r="769" spans="1:14" x14ac:dyDescent="0.25">
      <c r="A769" s="1" t="s">
        <v>778</v>
      </c>
      <c r="B769" s="1" t="s">
        <v>1149</v>
      </c>
      <c r="C769" s="1" t="s">
        <v>9</v>
      </c>
      <c r="D769">
        <v>542712</v>
      </c>
      <c r="E769">
        <v>52059</v>
      </c>
      <c r="F769">
        <v>59698</v>
      </c>
      <c r="G769">
        <v>15</v>
      </c>
      <c r="H769" s="4">
        <v>103.19999999999999</v>
      </c>
      <c r="I769" s="2">
        <v>0.8</v>
      </c>
      <c r="J769">
        <v>14</v>
      </c>
      <c r="K769">
        <v>1</v>
      </c>
      <c r="L769">
        <v>0</v>
      </c>
      <c r="M769" s="1" t="s">
        <v>1413</v>
      </c>
      <c r="N769" s="1" t="s">
        <v>1414</v>
      </c>
    </row>
    <row r="770" spans="1:14" x14ac:dyDescent="0.25">
      <c r="A770" s="1" t="s">
        <v>779</v>
      </c>
      <c r="B770" s="1" t="s">
        <v>1275</v>
      </c>
      <c r="C770" s="1" t="s">
        <v>9</v>
      </c>
      <c r="D770">
        <v>221477</v>
      </c>
      <c r="E770">
        <v>8094</v>
      </c>
      <c r="F770">
        <v>24362</v>
      </c>
      <c r="G770">
        <v>15</v>
      </c>
      <c r="H770" s="4">
        <v>102.49999999999999</v>
      </c>
      <c r="I770" s="2">
        <v>0.8</v>
      </c>
      <c r="J770">
        <v>0</v>
      </c>
      <c r="K770">
        <v>0</v>
      </c>
      <c r="L770">
        <v>0</v>
      </c>
      <c r="M770" s="1" t="s">
        <v>1413</v>
      </c>
      <c r="N770" s="1" t="s">
        <v>1414</v>
      </c>
    </row>
    <row r="771" spans="1:14" x14ac:dyDescent="0.25">
      <c r="A771" s="1" t="s">
        <v>780</v>
      </c>
      <c r="B771" s="1" t="s">
        <v>1217</v>
      </c>
      <c r="C771" s="1" t="s">
        <v>23</v>
      </c>
      <c r="D771">
        <v>435909</v>
      </c>
      <c r="E771">
        <v>75297</v>
      </c>
      <c r="F771">
        <v>47950</v>
      </c>
      <c r="G771">
        <v>15</v>
      </c>
      <c r="H771" s="4">
        <v>76.399999999999991</v>
      </c>
      <c r="I771" s="2">
        <v>0.66666666666666696</v>
      </c>
      <c r="J771">
        <v>17</v>
      </c>
      <c r="K771">
        <v>3</v>
      </c>
      <c r="L771">
        <v>0</v>
      </c>
      <c r="M771" s="1" t="s">
        <v>1413</v>
      </c>
      <c r="N771" s="1" t="s">
        <v>1414</v>
      </c>
    </row>
    <row r="772" spans="1:14" x14ac:dyDescent="0.25">
      <c r="A772" s="1" t="s">
        <v>781</v>
      </c>
      <c r="B772" s="1" t="s">
        <v>1075</v>
      </c>
      <c r="C772" s="1" t="s">
        <v>1117</v>
      </c>
      <c r="D772">
        <v>353842</v>
      </c>
      <c r="E772">
        <v>33359</v>
      </c>
      <c r="F772">
        <v>38923</v>
      </c>
      <c r="G772">
        <v>15</v>
      </c>
      <c r="H772" s="4">
        <v>103.49999999999997</v>
      </c>
      <c r="I772" s="2">
        <v>0.73333333333333295</v>
      </c>
      <c r="J772">
        <v>8</v>
      </c>
      <c r="K772">
        <v>1</v>
      </c>
      <c r="L772">
        <v>0</v>
      </c>
      <c r="M772" s="1" t="s">
        <v>1413</v>
      </c>
      <c r="N772" s="1" t="s">
        <v>1414</v>
      </c>
    </row>
    <row r="773" spans="1:14" x14ac:dyDescent="0.25">
      <c r="A773" s="1" t="s">
        <v>782</v>
      </c>
      <c r="B773" s="1" t="s">
        <v>1231</v>
      </c>
      <c r="C773" s="1" t="s">
        <v>52</v>
      </c>
      <c r="D773">
        <v>311672</v>
      </c>
      <c r="E773">
        <v>61963</v>
      </c>
      <c r="F773">
        <v>34284</v>
      </c>
      <c r="G773">
        <v>15</v>
      </c>
      <c r="H773" s="4">
        <v>103.3</v>
      </c>
      <c r="I773" s="2">
        <v>0.73333333333333295</v>
      </c>
      <c r="J773">
        <v>0</v>
      </c>
      <c r="K773">
        <v>0</v>
      </c>
      <c r="L773">
        <v>0</v>
      </c>
      <c r="M773" s="1" t="s">
        <v>1413</v>
      </c>
      <c r="N773" s="1" t="s">
        <v>1414</v>
      </c>
    </row>
    <row r="774" spans="1:14" x14ac:dyDescent="0.25">
      <c r="A774" s="1" t="s">
        <v>783</v>
      </c>
      <c r="B774" s="1" t="s">
        <v>1165</v>
      </c>
      <c r="C774" s="1" t="s">
        <v>3</v>
      </c>
      <c r="D774">
        <v>633237</v>
      </c>
      <c r="E774">
        <v>73015</v>
      </c>
      <c r="F774">
        <v>69656</v>
      </c>
      <c r="G774">
        <v>15</v>
      </c>
      <c r="H774" s="4">
        <v>105.5</v>
      </c>
      <c r="I774" s="2">
        <v>0.66666666666666696</v>
      </c>
      <c r="J774">
        <v>0</v>
      </c>
      <c r="K774">
        <v>0</v>
      </c>
      <c r="L774">
        <v>0</v>
      </c>
      <c r="M774" s="1" t="s">
        <v>1413</v>
      </c>
      <c r="N774" s="1" t="s">
        <v>1414</v>
      </c>
    </row>
    <row r="775" spans="1:14" x14ac:dyDescent="0.25">
      <c r="A775" s="1" t="s">
        <v>784</v>
      </c>
      <c r="B775" s="1" t="s">
        <v>1054</v>
      </c>
      <c r="C775" s="1" t="s">
        <v>37</v>
      </c>
      <c r="D775">
        <v>554076</v>
      </c>
      <c r="E775">
        <v>369</v>
      </c>
      <c r="F775">
        <v>60948</v>
      </c>
      <c r="G775">
        <v>15</v>
      </c>
      <c r="H775" s="4">
        <v>108.8</v>
      </c>
      <c r="I775" s="2">
        <v>0.73333333333333295</v>
      </c>
      <c r="J775">
        <v>0</v>
      </c>
      <c r="K775">
        <v>0</v>
      </c>
      <c r="L775">
        <v>0</v>
      </c>
      <c r="M775" s="1" t="s">
        <v>1413</v>
      </c>
      <c r="N775" s="1" t="s">
        <v>1414</v>
      </c>
    </row>
    <row r="776" spans="1:14" x14ac:dyDescent="0.25">
      <c r="A776" s="1" t="s">
        <v>785</v>
      </c>
      <c r="B776" s="1" t="s">
        <v>1379</v>
      </c>
      <c r="C776" s="1" t="s">
        <v>1037</v>
      </c>
      <c r="D776">
        <v>508203</v>
      </c>
      <c r="E776">
        <v>3171</v>
      </c>
      <c r="F776">
        <v>55902</v>
      </c>
      <c r="G776">
        <v>15</v>
      </c>
      <c r="H776" s="4">
        <v>98.499999999999986</v>
      </c>
      <c r="I776" s="2">
        <v>0.73333333333333295</v>
      </c>
      <c r="J776">
        <v>14</v>
      </c>
      <c r="K776">
        <v>1</v>
      </c>
      <c r="L776">
        <v>0</v>
      </c>
      <c r="M776" s="1" t="s">
        <v>1413</v>
      </c>
      <c r="N776" s="1" t="s">
        <v>1414</v>
      </c>
    </row>
    <row r="777" spans="1:14" x14ac:dyDescent="0.25">
      <c r="A777" s="1" t="s">
        <v>786</v>
      </c>
      <c r="B777" s="1" t="s">
        <v>1051</v>
      </c>
      <c r="C777" s="1" t="s">
        <v>7</v>
      </c>
      <c r="D777">
        <v>347883</v>
      </c>
      <c r="E777">
        <v>79991</v>
      </c>
      <c r="G777">
        <v>15</v>
      </c>
      <c r="H777" s="4">
        <v>103.99999999999999</v>
      </c>
      <c r="I777" s="2">
        <v>0.73333333333333295</v>
      </c>
      <c r="J777">
        <v>11</v>
      </c>
      <c r="K777">
        <v>2</v>
      </c>
      <c r="L777">
        <v>0</v>
      </c>
      <c r="M777" s="1" t="s">
        <v>1413</v>
      </c>
      <c r="N777" s="1" t="s">
        <v>1414</v>
      </c>
    </row>
    <row r="778" spans="1:14" x14ac:dyDescent="0.25">
      <c r="A778" s="1" t="s">
        <v>787</v>
      </c>
      <c r="B778" s="1" t="s">
        <v>1380</v>
      </c>
      <c r="C778" s="1" t="s">
        <v>7</v>
      </c>
      <c r="D778">
        <v>571841</v>
      </c>
      <c r="E778">
        <v>63394</v>
      </c>
      <c r="F778">
        <v>62903</v>
      </c>
      <c r="G778">
        <v>15</v>
      </c>
      <c r="H778" s="4">
        <v>114.20000000000002</v>
      </c>
      <c r="I778" s="2">
        <v>0.8</v>
      </c>
      <c r="J778">
        <v>13</v>
      </c>
      <c r="K778">
        <v>1</v>
      </c>
      <c r="L778">
        <v>0</v>
      </c>
      <c r="M778" s="1" t="s">
        <v>1413</v>
      </c>
      <c r="N778" s="1" t="s">
        <v>1414</v>
      </c>
    </row>
    <row r="779" spans="1:14" x14ac:dyDescent="0.25">
      <c r="A779" s="1" t="s">
        <v>788</v>
      </c>
      <c r="B779" s="1" t="s">
        <v>1337</v>
      </c>
      <c r="C779" s="1" t="s">
        <v>12</v>
      </c>
      <c r="D779">
        <v>395081</v>
      </c>
      <c r="E779">
        <v>56341</v>
      </c>
      <c r="F779">
        <v>43459</v>
      </c>
      <c r="G779">
        <v>15</v>
      </c>
      <c r="H779" s="4">
        <v>101.00000000000001</v>
      </c>
      <c r="I779" s="2">
        <v>0.73333333333333295</v>
      </c>
      <c r="J779">
        <v>0</v>
      </c>
      <c r="K779">
        <v>0</v>
      </c>
      <c r="L779">
        <v>0</v>
      </c>
      <c r="M779" s="1" t="s">
        <v>1413</v>
      </c>
      <c r="N779" s="1" t="s">
        <v>1414</v>
      </c>
    </row>
    <row r="780" spans="1:14" x14ac:dyDescent="0.25">
      <c r="A780" s="1" t="s">
        <v>789</v>
      </c>
      <c r="B780" s="1" t="s">
        <v>1342</v>
      </c>
      <c r="C780" s="1" t="s">
        <v>23</v>
      </c>
      <c r="D780">
        <v>221427</v>
      </c>
      <c r="E780">
        <v>48395</v>
      </c>
      <c r="F780">
        <v>24357</v>
      </c>
      <c r="G780">
        <v>15</v>
      </c>
      <c r="H780" s="4">
        <v>102.5</v>
      </c>
      <c r="I780" s="2">
        <v>0.73333333333333295</v>
      </c>
      <c r="J780">
        <v>0</v>
      </c>
      <c r="K780">
        <v>0</v>
      </c>
      <c r="L780">
        <v>0</v>
      </c>
      <c r="M780" s="1" t="s">
        <v>1413</v>
      </c>
      <c r="N780" s="1" t="s">
        <v>1414</v>
      </c>
    </row>
    <row r="781" spans="1:14" x14ac:dyDescent="0.25">
      <c r="A781" s="1" t="s">
        <v>790</v>
      </c>
      <c r="B781" s="1" t="s">
        <v>1154</v>
      </c>
      <c r="C781" s="1" t="s">
        <v>5</v>
      </c>
      <c r="D781">
        <v>221588</v>
      </c>
      <c r="E781">
        <v>73174</v>
      </c>
      <c r="F781">
        <v>24375</v>
      </c>
      <c r="G781">
        <v>15</v>
      </c>
      <c r="H781" s="4">
        <v>95.399999999999991</v>
      </c>
      <c r="I781" s="2">
        <v>0.66666666666666696</v>
      </c>
      <c r="J781">
        <v>0</v>
      </c>
      <c r="K781">
        <v>0</v>
      </c>
      <c r="L781">
        <v>0</v>
      </c>
      <c r="M781" s="1" t="s">
        <v>1413</v>
      </c>
      <c r="N781" s="1" t="s">
        <v>1414</v>
      </c>
    </row>
    <row r="782" spans="1:14" x14ac:dyDescent="0.25">
      <c r="A782" s="1" t="s">
        <v>791</v>
      </c>
      <c r="B782" s="1" t="s">
        <v>1180</v>
      </c>
      <c r="C782" s="1" t="s">
        <v>9</v>
      </c>
      <c r="D782">
        <v>811084</v>
      </c>
      <c r="E782">
        <v>54767</v>
      </c>
      <c r="F782">
        <v>89219</v>
      </c>
      <c r="G782">
        <v>14</v>
      </c>
      <c r="H782" s="4">
        <v>98.399999999999991</v>
      </c>
      <c r="I782" s="2">
        <v>0.78571428571428603</v>
      </c>
      <c r="J782">
        <v>0</v>
      </c>
      <c r="K782">
        <v>0</v>
      </c>
      <c r="L782">
        <v>0</v>
      </c>
      <c r="M782" s="1" t="s">
        <v>1413</v>
      </c>
      <c r="N782" s="1" t="s">
        <v>1414</v>
      </c>
    </row>
    <row r="783" spans="1:14" x14ac:dyDescent="0.25">
      <c r="A783" s="1" t="s">
        <v>792</v>
      </c>
      <c r="B783" s="1" t="s">
        <v>1381</v>
      </c>
      <c r="C783" s="1" t="s">
        <v>3</v>
      </c>
      <c r="D783">
        <v>674793</v>
      </c>
      <c r="E783">
        <v>3244</v>
      </c>
      <c r="F783">
        <v>74227</v>
      </c>
      <c r="G783">
        <v>15</v>
      </c>
      <c r="H783" s="4">
        <v>96.5</v>
      </c>
      <c r="I783" s="2">
        <v>0.8</v>
      </c>
      <c r="J783">
        <v>0</v>
      </c>
      <c r="K783">
        <v>0</v>
      </c>
      <c r="L783">
        <v>0</v>
      </c>
      <c r="M783" s="1" t="s">
        <v>1413</v>
      </c>
      <c r="N783" s="1" t="s">
        <v>1414</v>
      </c>
    </row>
    <row r="784" spans="1:14" x14ac:dyDescent="0.25">
      <c r="A784" s="1" t="s">
        <v>793</v>
      </c>
      <c r="B784" s="1" t="s">
        <v>1287</v>
      </c>
      <c r="C784" s="1" t="s">
        <v>1037</v>
      </c>
      <c r="D784">
        <v>371403</v>
      </c>
      <c r="E784">
        <v>62438</v>
      </c>
      <c r="F784">
        <v>40854</v>
      </c>
      <c r="G784">
        <v>15</v>
      </c>
      <c r="H784" s="4">
        <v>104.8</v>
      </c>
      <c r="I784" s="2">
        <v>0.86666666666666703</v>
      </c>
      <c r="J784">
        <v>0</v>
      </c>
      <c r="K784">
        <v>0</v>
      </c>
      <c r="L784">
        <v>0</v>
      </c>
      <c r="M784" s="1" t="s">
        <v>1413</v>
      </c>
      <c r="N784" s="1" t="s">
        <v>1414</v>
      </c>
    </row>
    <row r="785" spans="1:14" x14ac:dyDescent="0.25">
      <c r="A785" s="1" t="s">
        <v>794</v>
      </c>
      <c r="B785" s="1" t="s">
        <v>1334</v>
      </c>
      <c r="C785" s="1" t="s">
        <v>7</v>
      </c>
      <c r="D785">
        <v>349097</v>
      </c>
      <c r="E785">
        <v>58122</v>
      </c>
      <c r="F785">
        <v>38401</v>
      </c>
      <c r="G785">
        <v>15</v>
      </c>
      <c r="H785" s="4">
        <v>118.8</v>
      </c>
      <c r="I785" s="2">
        <v>0.73333333333333295</v>
      </c>
      <c r="J785">
        <v>0</v>
      </c>
      <c r="K785">
        <v>0</v>
      </c>
      <c r="L785">
        <v>0</v>
      </c>
      <c r="M785" s="1" t="s">
        <v>1413</v>
      </c>
      <c r="N785" s="1" t="s">
        <v>1414</v>
      </c>
    </row>
    <row r="786" spans="1:14" x14ac:dyDescent="0.25">
      <c r="A786" s="1" t="s">
        <v>795</v>
      </c>
      <c r="B786" s="1" t="s">
        <v>1314</v>
      </c>
      <c r="C786" s="1" t="s">
        <v>23</v>
      </c>
      <c r="D786">
        <v>395001</v>
      </c>
      <c r="E786">
        <v>38331</v>
      </c>
      <c r="F786">
        <v>43450</v>
      </c>
      <c r="G786">
        <v>15</v>
      </c>
      <c r="H786" s="4">
        <v>79.699999999999989</v>
      </c>
      <c r="I786" s="2">
        <v>0.53333333333333299</v>
      </c>
      <c r="J786">
        <v>0</v>
      </c>
      <c r="K786">
        <v>0</v>
      </c>
      <c r="L786">
        <v>0</v>
      </c>
      <c r="M786" s="1" t="s">
        <v>1413</v>
      </c>
      <c r="N786" s="1" t="s">
        <v>1414</v>
      </c>
    </row>
    <row r="787" spans="1:14" x14ac:dyDescent="0.25">
      <c r="A787" s="1" t="s">
        <v>796</v>
      </c>
      <c r="B787" s="1" t="s">
        <v>1258</v>
      </c>
      <c r="C787" s="1" t="s">
        <v>3</v>
      </c>
      <c r="D787">
        <v>291485</v>
      </c>
      <c r="E787">
        <v>79016</v>
      </c>
      <c r="F787">
        <v>32063</v>
      </c>
      <c r="G787">
        <v>15</v>
      </c>
      <c r="H787" s="4">
        <v>88.199999999999989</v>
      </c>
      <c r="I787" s="2">
        <v>0.66666666666666696</v>
      </c>
      <c r="J787">
        <v>0</v>
      </c>
      <c r="K787">
        <v>0</v>
      </c>
      <c r="L787">
        <v>0</v>
      </c>
      <c r="M787" s="1" t="s">
        <v>1413</v>
      </c>
      <c r="N787" s="1" t="s">
        <v>1414</v>
      </c>
    </row>
    <row r="788" spans="1:14" x14ac:dyDescent="0.25">
      <c r="A788" s="1" t="s">
        <v>797</v>
      </c>
      <c r="B788" s="1" t="s">
        <v>1300</v>
      </c>
      <c r="C788" s="1" t="s">
        <v>9</v>
      </c>
      <c r="D788">
        <v>804937</v>
      </c>
      <c r="E788">
        <v>28721</v>
      </c>
      <c r="F788">
        <v>88543</v>
      </c>
      <c r="G788">
        <v>15</v>
      </c>
      <c r="H788" s="4">
        <v>104.9</v>
      </c>
      <c r="I788" s="2">
        <v>0.73333333333333295</v>
      </c>
      <c r="J788">
        <v>0</v>
      </c>
      <c r="K788">
        <v>0</v>
      </c>
      <c r="L788">
        <v>0</v>
      </c>
      <c r="M788" s="1" t="s">
        <v>1413</v>
      </c>
      <c r="N788" s="1" t="s">
        <v>1414</v>
      </c>
    </row>
    <row r="789" spans="1:14" x14ac:dyDescent="0.25">
      <c r="A789" s="1" t="s">
        <v>798</v>
      </c>
      <c r="B789" s="1" t="s">
        <v>1382</v>
      </c>
      <c r="C789" s="1" t="s">
        <v>9</v>
      </c>
      <c r="D789">
        <v>301137</v>
      </c>
      <c r="E789">
        <v>52858</v>
      </c>
      <c r="F789">
        <v>33125</v>
      </c>
      <c r="G789">
        <v>15</v>
      </c>
      <c r="H789" s="4">
        <v>120.59999999999998</v>
      </c>
      <c r="I789" s="2">
        <v>0.93333333333333302</v>
      </c>
      <c r="J789">
        <v>0</v>
      </c>
      <c r="K789">
        <v>0</v>
      </c>
      <c r="L789">
        <v>0</v>
      </c>
      <c r="M789" s="1" t="s">
        <v>1413</v>
      </c>
      <c r="N789" s="1" t="s">
        <v>1414</v>
      </c>
    </row>
    <row r="790" spans="1:14" x14ac:dyDescent="0.25">
      <c r="A790" s="1" t="s">
        <v>799</v>
      </c>
      <c r="B790" s="1" t="s">
        <v>1264</v>
      </c>
      <c r="C790" s="1" t="s">
        <v>27</v>
      </c>
      <c r="D790">
        <v>725152</v>
      </c>
      <c r="E790">
        <v>68615</v>
      </c>
      <c r="F790">
        <v>79767</v>
      </c>
      <c r="G790">
        <v>15</v>
      </c>
      <c r="H790" s="4">
        <v>95.999999999999986</v>
      </c>
      <c r="I790" s="2">
        <v>0.73333333333333295</v>
      </c>
      <c r="J790">
        <v>0</v>
      </c>
      <c r="K790">
        <v>0</v>
      </c>
      <c r="L790">
        <v>0</v>
      </c>
      <c r="M790" s="1" t="s">
        <v>1413</v>
      </c>
      <c r="N790" s="1" t="s">
        <v>1414</v>
      </c>
    </row>
    <row r="791" spans="1:14" x14ac:dyDescent="0.25">
      <c r="A791" s="1" t="s">
        <v>800</v>
      </c>
      <c r="B791" s="1" t="s">
        <v>1369</v>
      </c>
      <c r="C791" s="1" t="s">
        <v>12</v>
      </c>
      <c r="D791">
        <v>358833</v>
      </c>
      <c r="E791">
        <v>6691</v>
      </c>
      <c r="F791">
        <v>39472</v>
      </c>
      <c r="G791">
        <v>15</v>
      </c>
      <c r="H791" s="4">
        <v>98.7</v>
      </c>
      <c r="I791" s="2">
        <v>0.73333333333333295</v>
      </c>
      <c r="J791">
        <v>0</v>
      </c>
      <c r="K791">
        <v>0</v>
      </c>
      <c r="L791">
        <v>0</v>
      </c>
      <c r="M791" s="1" t="s">
        <v>1413</v>
      </c>
      <c r="N791" s="1" t="s">
        <v>1414</v>
      </c>
    </row>
    <row r="792" spans="1:14" x14ac:dyDescent="0.25">
      <c r="A792" s="1" t="s">
        <v>801</v>
      </c>
      <c r="B792" s="1" t="s">
        <v>1052</v>
      </c>
      <c r="C792" s="1" t="s">
        <v>7</v>
      </c>
      <c r="D792">
        <v>675436</v>
      </c>
      <c r="E792">
        <v>14633</v>
      </c>
      <c r="F792">
        <v>74298</v>
      </c>
      <c r="G792">
        <v>15</v>
      </c>
      <c r="H792" s="4">
        <v>87.899999999999991</v>
      </c>
      <c r="I792" s="2">
        <v>0.53333333333333299</v>
      </c>
      <c r="J792">
        <v>0</v>
      </c>
      <c r="K792">
        <v>0</v>
      </c>
      <c r="L792">
        <v>0</v>
      </c>
      <c r="M792" s="1" t="s">
        <v>1413</v>
      </c>
      <c r="N792" s="1" t="s">
        <v>1414</v>
      </c>
    </row>
    <row r="793" spans="1:14" x14ac:dyDescent="0.25">
      <c r="A793" s="1" t="s">
        <v>802</v>
      </c>
      <c r="B793" s="1" t="s">
        <v>1147</v>
      </c>
      <c r="C793" s="1" t="s">
        <v>5</v>
      </c>
      <c r="D793">
        <v>440380</v>
      </c>
      <c r="E793">
        <v>77408</v>
      </c>
      <c r="F793">
        <v>48442</v>
      </c>
      <c r="G793">
        <v>15</v>
      </c>
      <c r="H793" s="4">
        <v>112.5</v>
      </c>
      <c r="I793" s="2">
        <v>0.66666666666666696</v>
      </c>
      <c r="J793">
        <v>0</v>
      </c>
      <c r="K793">
        <v>0</v>
      </c>
      <c r="L793">
        <v>0</v>
      </c>
      <c r="M793" s="1" t="s">
        <v>1413</v>
      </c>
      <c r="N793" s="1" t="s">
        <v>1414</v>
      </c>
    </row>
    <row r="794" spans="1:14" x14ac:dyDescent="0.25">
      <c r="A794" s="1" t="s">
        <v>803</v>
      </c>
      <c r="B794" s="1" t="s">
        <v>1383</v>
      </c>
      <c r="C794" s="1" t="s">
        <v>52</v>
      </c>
      <c r="D794">
        <v>805708</v>
      </c>
      <c r="E794">
        <v>80327</v>
      </c>
      <c r="F794">
        <v>88628</v>
      </c>
      <c r="G794">
        <v>15</v>
      </c>
      <c r="H794" s="4">
        <v>79.699999999999989</v>
      </c>
      <c r="I794" s="2">
        <v>0.6</v>
      </c>
      <c r="J794">
        <v>0</v>
      </c>
      <c r="K794">
        <v>0</v>
      </c>
      <c r="L794">
        <v>0</v>
      </c>
      <c r="M794" s="1" t="s">
        <v>1413</v>
      </c>
      <c r="N794" s="1" t="s">
        <v>1414</v>
      </c>
    </row>
    <row r="795" spans="1:14" x14ac:dyDescent="0.25">
      <c r="A795" s="1" t="s">
        <v>804</v>
      </c>
      <c r="B795" s="1" t="s">
        <v>1207</v>
      </c>
      <c r="C795" s="1" t="s">
        <v>12</v>
      </c>
      <c r="D795">
        <v>667719</v>
      </c>
      <c r="E795">
        <v>52106</v>
      </c>
      <c r="F795">
        <v>73449</v>
      </c>
      <c r="G795">
        <v>15</v>
      </c>
      <c r="H795" s="4">
        <v>105.5</v>
      </c>
      <c r="I795" s="2">
        <v>0.86666666666666703</v>
      </c>
      <c r="J795">
        <v>0</v>
      </c>
      <c r="K795">
        <v>0</v>
      </c>
      <c r="L795">
        <v>0</v>
      </c>
      <c r="M795" s="1" t="s">
        <v>1413</v>
      </c>
      <c r="N795" s="1" t="s">
        <v>1414</v>
      </c>
    </row>
    <row r="796" spans="1:14" x14ac:dyDescent="0.25">
      <c r="A796" s="1" t="s">
        <v>805</v>
      </c>
      <c r="B796" s="1" t="s">
        <v>1384</v>
      </c>
      <c r="C796" s="1" t="s">
        <v>12</v>
      </c>
      <c r="D796">
        <v>417870</v>
      </c>
      <c r="E796">
        <v>82654</v>
      </c>
      <c r="F796">
        <v>45966</v>
      </c>
      <c r="G796">
        <v>15</v>
      </c>
      <c r="H796" s="4">
        <v>106.5</v>
      </c>
      <c r="I796" s="2">
        <v>0.66666666666666696</v>
      </c>
      <c r="J796">
        <v>0</v>
      </c>
      <c r="K796">
        <v>0</v>
      </c>
      <c r="L796">
        <v>0</v>
      </c>
      <c r="M796" s="1" t="s">
        <v>1413</v>
      </c>
      <c r="N796" s="1" t="s">
        <v>1414</v>
      </c>
    </row>
    <row r="797" spans="1:14" x14ac:dyDescent="0.25">
      <c r="A797" s="1" t="s">
        <v>806</v>
      </c>
      <c r="B797" s="1" t="s">
        <v>1137</v>
      </c>
      <c r="C797" s="1" t="s">
        <v>27</v>
      </c>
      <c r="D797">
        <v>242271</v>
      </c>
      <c r="E797">
        <v>6647</v>
      </c>
      <c r="F797">
        <v>26650</v>
      </c>
      <c r="G797">
        <v>15</v>
      </c>
      <c r="H797" s="4">
        <v>104.19999999999999</v>
      </c>
      <c r="I797" s="2">
        <v>0.8</v>
      </c>
      <c r="J797">
        <v>23</v>
      </c>
      <c r="K797">
        <v>2</v>
      </c>
      <c r="L797">
        <v>0</v>
      </c>
      <c r="M797" s="1" t="s">
        <v>1413</v>
      </c>
      <c r="N797" s="1" t="s">
        <v>1414</v>
      </c>
    </row>
    <row r="798" spans="1:14" x14ac:dyDescent="0.25">
      <c r="A798" s="1" t="s">
        <v>807</v>
      </c>
      <c r="B798" s="1" t="s">
        <v>1068</v>
      </c>
      <c r="C798" s="1" t="s">
        <v>1037</v>
      </c>
      <c r="D798">
        <v>299014</v>
      </c>
      <c r="E798">
        <v>43493</v>
      </c>
      <c r="F798">
        <v>32892</v>
      </c>
      <c r="G798">
        <v>14</v>
      </c>
      <c r="H798" s="4">
        <v>104.49999999999999</v>
      </c>
      <c r="I798" s="2">
        <v>0.78571428571428603</v>
      </c>
      <c r="J798">
        <v>2</v>
      </c>
      <c r="K798">
        <v>1</v>
      </c>
      <c r="L798">
        <v>0</v>
      </c>
      <c r="M798" s="1" t="s">
        <v>1413</v>
      </c>
      <c r="N798" s="1" t="s">
        <v>1414</v>
      </c>
    </row>
    <row r="799" spans="1:14" x14ac:dyDescent="0.25">
      <c r="A799" s="1" t="s">
        <v>808</v>
      </c>
      <c r="B799" s="1" t="s">
        <v>1313</v>
      </c>
      <c r="C799" s="1" t="s">
        <v>7</v>
      </c>
      <c r="D799">
        <v>772591</v>
      </c>
      <c r="E799">
        <v>66006</v>
      </c>
      <c r="F799">
        <v>84985</v>
      </c>
      <c r="G799">
        <v>15</v>
      </c>
      <c r="H799" s="4">
        <v>100.49999999999999</v>
      </c>
      <c r="I799" s="2">
        <v>0.8</v>
      </c>
      <c r="J799">
        <v>0</v>
      </c>
      <c r="K799">
        <v>0</v>
      </c>
      <c r="L799">
        <v>0</v>
      </c>
      <c r="M799" s="1" t="s">
        <v>1413</v>
      </c>
      <c r="N799" s="1" t="s">
        <v>1414</v>
      </c>
    </row>
    <row r="800" spans="1:14" x14ac:dyDescent="0.25">
      <c r="A800" s="1" t="s">
        <v>809</v>
      </c>
      <c r="B800" s="1" t="s">
        <v>1385</v>
      </c>
      <c r="C800" s="1" t="s">
        <v>3</v>
      </c>
      <c r="D800">
        <v>458122</v>
      </c>
      <c r="E800">
        <v>47533</v>
      </c>
      <c r="F800">
        <v>50393</v>
      </c>
      <c r="G800">
        <v>15</v>
      </c>
      <c r="H800" s="4">
        <v>97.699999999999989</v>
      </c>
      <c r="I800" s="2">
        <v>0.66666666666666696</v>
      </c>
      <c r="J800">
        <v>0</v>
      </c>
      <c r="K800">
        <v>0</v>
      </c>
      <c r="L800">
        <v>0</v>
      </c>
      <c r="M800" s="1" t="s">
        <v>1413</v>
      </c>
      <c r="N800" s="1" t="s">
        <v>1414</v>
      </c>
    </row>
    <row r="801" spans="1:14" x14ac:dyDescent="0.25">
      <c r="A801" s="1" t="s">
        <v>810</v>
      </c>
      <c r="B801" s="1" t="s">
        <v>1386</v>
      </c>
      <c r="C801" s="1" t="s">
        <v>27</v>
      </c>
      <c r="D801">
        <v>466801</v>
      </c>
      <c r="E801">
        <v>10748</v>
      </c>
      <c r="F801">
        <v>51348</v>
      </c>
      <c r="G801">
        <v>15</v>
      </c>
      <c r="H801" s="4">
        <v>87.9</v>
      </c>
      <c r="I801" s="2">
        <v>0.66666666666666696</v>
      </c>
      <c r="J801">
        <v>0</v>
      </c>
      <c r="K801">
        <v>0</v>
      </c>
      <c r="L801">
        <v>0</v>
      </c>
      <c r="M801" s="1" t="s">
        <v>1413</v>
      </c>
      <c r="N801" s="1" t="s">
        <v>1414</v>
      </c>
    </row>
    <row r="802" spans="1:14" x14ac:dyDescent="0.25">
      <c r="A802" s="1" t="s">
        <v>811</v>
      </c>
      <c r="B802" s="1" t="s">
        <v>1170</v>
      </c>
      <c r="C802" s="1" t="s">
        <v>1117</v>
      </c>
      <c r="D802">
        <v>662174</v>
      </c>
      <c r="E802">
        <v>60933</v>
      </c>
      <c r="F802">
        <v>72839</v>
      </c>
      <c r="G802">
        <v>15</v>
      </c>
      <c r="H802" s="4">
        <v>105.8</v>
      </c>
      <c r="I802" s="2">
        <v>0.66666666666666696</v>
      </c>
      <c r="J802">
        <v>6</v>
      </c>
      <c r="K802">
        <v>1</v>
      </c>
      <c r="L802">
        <v>0</v>
      </c>
      <c r="M802" s="1" t="s">
        <v>1413</v>
      </c>
      <c r="N802" s="1" t="s">
        <v>1414</v>
      </c>
    </row>
    <row r="803" spans="1:14" x14ac:dyDescent="0.25">
      <c r="A803" s="1" t="s">
        <v>812</v>
      </c>
      <c r="B803" s="1" t="s">
        <v>1074</v>
      </c>
      <c r="C803" s="1" t="s">
        <v>7</v>
      </c>
      <c r="D803">
        <v>419841</v>
      </c>
      <c r="E803">
        <v>72412</v>
      </c>
      <c r="F803">
        <v>46183</v>
      </c>
      <c r="G803">
        <v>15</v>
      </c>
      <c r="H803" s="4">
        <v>113.5</v>
      </c>
      <c r="I803" s="2">
        <v>0.86666666666666703</v>
      </c>
      <c r="J803">
        <v>0</v>
      </c>
      <c r="K803">
        <v>0</v>
      </c>
      <c r="L803">
        <v>0</v>
      </c>
      <c r="M803" s="1" t="s">
        <v>1413</v>
      </c>
      <c r="N803" s="1" t="s">
        <v>1414</v>
      </c>
    </row>
    <row r="804" spans="1:14" x14ac:dyDescent="0.25">
      <c r="A804" s="1" t="s">
        <v>813</v>
      </c>
      <c r="B804" s="1" t="s">
        <v>1234</v>
      </c>
      <c r="C804" s="1" t="s">
        <v>27</v>
      </c>
      <c r="D804">
        <v>284285</v>
      </c>
      <c r="E804">
        <v>4256</v>
      </c>
      <c r="F804">
        <v>31271</v>
      </c>
      <c r="G804">
        <v>15</v>
      </c>
      <c r="H804" s="4">
        <v>102.89999999999999</v>
      </c>
      <c r="I804" s="2">
        <v>0.8</v>
      </c>
      <c r="J804">
        <v>3</v>
      </c>
      <c r="K804">
        <v>1</v>
      </c>
      <c r="L804">
        <v>0</v>
      </c>
      <c r="M804" s="1" t="s">
        <v>1413</v>
      </c>
      <c r="N804" s="1" t="s">
        <v>1414</v>
      </c>
    </row>
    <row r="805" spans="1:14" x14ac:dyDescent="0.25">
      <c r="A805" s="1" t="s">
        <v>814</v>
      </c>
      <c r="B805" s="1" t="s">
        <v>1132</v>
      </c>
      <c r="C805" s="1" t="s">
        <v>52</v>
      </c>
      <c r="D805">
        <v>235346</v>
      </c>
      <c r="E805">
        <v>38662</v>
      </c>
      <c r="F805">
        <v>25888</v>
      </c>
      <c r="G805">
        <v>15</v>
      </c>
      <c r="H805" s="4">
        <v>104.7</v>
      </c>
      <c r="I805" s="2">
        <v>0.86666666666666703</v>
      </c>
      <c r="J805">
        <v>16</v>
      </c>
      <c r="K805">
        <v>2</v>
      </c>
      <c r="L805">
        <v>0</v>
      </c>
      <c r="M805" s="1" t="s">
        <v>1413</v>
      </c>
      <c r="N805" s="1" t="s">
        <v>1414</v>
      </c>
    </row>
    <row r="806" spans="1:14" x14ac:dyDescent="0.25">
      <c r="A806" s="1" t="s">
        <v>815</v>
      </c>
      <c r="B806" s="1" t="s">
        <v>1153</v>
      </c>
      <c r="C806" s="1" t="s">
        <v>5</v>
      </c>
      <c r="D806">
        <v>794096</v>
      </c>
      <c r="E806">
        <v>54777</v>
      </c>
      <c r="F806">
        <v>87351</v>
      </c>
      <c r="G806">
        <v>15</v>
      </c>
      <c r="H806" s="4">
        <v>120.29999999999998</v>
      </c>
      <c r="I806" s="2">
        <v>0.93333333333333302</v>
      </c>
      <c r="J806">
        <v>0</v>
      </c>
      <c r="K806">
        <v>0</v>
      </c>
      <c r="L806">
        <v>0</v>
      </c>
      <c r="M806" s="1" t="s">
        <v>1413</v>
      </c>
      <c r="N806" s="1" t="s">
        <v>1414</v>
      </c>
    </row>
    <row r="807" spans="1:14" x14ac:dyDescent="0.25">
      <c r="A807" s="1" t="s">
        <v>816</v>
      </c>
      <c r="B807" s="1" t="s">
        <v>1383</v>
      </c>
      <c r="C807" s="1" t="s">
        <v>23</v>
      </c>
      <c r="D807">
        <v>322587</v>
      </c>
      <c r="E807">
        <v>42934</v>
      </c>
      <c r="F807">
        <v>35485</v>
      </c>
      <c r="G807">
        <v>15</v>
      </c>
      <c r="H807" s="4">
        <v>111.7</v>
      </c>
      <c r="I807" s="2">
        <v>0.86666666666666703</v>
      </c>
      <c r="J807">
        <v>0</v>
      </c>
      <c r="K807">
        <v>0</v>
      </c>
      <c r="L807">
        <v>0</v>
      </c>
      <c r="M807" s="1" t="s">
        <v>1413</v>
      </c>
      <c r="N807" s="1" t="s">
        <v>1414</v>
      </c>
    </row>
    <row r="808" spans="1:14" x14ac:dyDescent="0.25">
      <c r="A808" s="1" t="s">
        <v>817</v>
      </c>
      <c r="B808" s="1" t="s">
        <v>1358</v>
      </c>
      <c r="C808" s="1" t="s">
        <v>9</v>
      </c>
      <c r="D808">
        <v>722148</v>
      </c>
      <c r="E808">
        <v>88234</v>
      </c>
      <c r="F808">
        <v>79436</v>
      </c>
      <c r="G808">
        <v>15</v>
      </c>
      <c r="H808" s="4">
        <v>101.80000000000001</v>
      </c>
      <c r="I808" s="2">
        <v>0.73333333333333295</v>
      </c>
      <c r="J808">
        <v>5</v>
      </c>
      <c r="K808">
        <v>1</v>
      </c>
      <c r="L808">
        <v>0</v>
      </c>
      <c r="M808" s="1" t="s">
        <v>1413</v>
      </c>
      <c r="N808" s="1" t="s">
        <v>1414</v>
      </c>
    </row>
    <row r="809" spans="1:14" x14ac:dyDescent="0.25">
      <c r="A809" s="1" t="s">
        <v>818</v>
      </c>
      <c r="B809" s="1" t="s">
        <v>1387</v>
      </c>
      <c r="C809" s="1" t="s">
        <v>52</v>
      </c>
      <c r="D809">
        <v>574479</v>
      </c>
      <c r="E809">
        <v>62101</v>
      </c>
      <c r="G809">
        <v>15</v>
      </c>
      <c r="H809" s="4">
        <v>86</v>
      </c>
      <c r="I809" s="2">
        <v>0.73333333333333295</v>
      </c>
      <c r="J809">
        <v>0</v>
      </c>
      <c r="K809">
        <v>0</v>
      </c>
      <c r="L809">
        <v>0</v>
      </c>
      <c r="M809" s="1" t="s">
        <v>1413</v>
      </c>
      <c r="N809" s="1" t="s">
        <v>1414</v>
      </c>
    </row>
    <row r="810" spans="1:14" x14ac:dyDescent="0.25">
      <c r="A810" s="1" t="s">
        <v>819</v>
      </c>
      <c r="B810" s="1" t="s">
        <v>1038</v>
      </c>
      <c r="C810" s="1" t="s">
        <v>3</v>
      </c>
      <c r="D810">
        <v>416215</v>
      </c>
      <c r="E810">
        <v>22950</v>
      </c>
      <c r="F810">
        <v>45784</v>
      </c>
      <c r="G810">
        <v>15</v>
      </c>
      <c r="H810" s="4">
        <v>84.7</v>
      </c>
      <c r="I810" s="2">
        <v>0.6</v>
      </c>
      <c r="J810">
        <v>14</v>
      </c>
      <c r="K810">
        <v>2</v>
      </c>
      <c r="L810">
        <v>0</v>
      </c>
      <c r="M810" s="1" t="s">
        <v>1413</v>
      </c>
      <c r="N810" s="1" t="s">
        <v>1414</v>
      </c>
    </row>
    <row r="811" spans="1:14" x14ac:dyDescent="0.25">
      <c r="A811" s="1" t="s">
        <v>820</v>
      </c>
      <c r="B811" s="1" t="s">
        <v>1146</v>
      </c>
      <c r="C811" s="1" t="s">
        <v>12</v>
      </c>
      <c r="D811">
        <v>421661</v>
      </c>
      <c r="E811">
        <v>33120</v>
      </c>
      <c r="F811">
        <v>46383</v>
      </c>
      <c r="G811">
        <v>15</v>
      </c>
      <c r="H811" s="4">
        <v>97.699999999999974</v>
      </c>
      <c r="I811" s="2">
        <v>0.73333333333333295</v>
      </c>
      <c r="J811">
        <v>12</v>
      </c>
      <c r="K811">
        <v>2</v>
      </c>
      <c r="L811">
        <v>0</v>
      </c>
      <c r="M811" s="1" t="s">
        <v>1413</v>
      </c>
      <c r="N811" s="1" t="s">
        <v>1414</v>
      </c>
    </row>
    <row r="812" spans="1:14" x14ac:dyDescent="0.25">
      <c r="A812" s="1" t="s">
        <v>821</v>
      </c>
      <c r="B812" s="1" t="s">
        <v>1388</v>
      </c>
      <c r="C812" s="1" t="s">
        <v>9</v>
      </c>
      <c r="D812">
        <v>451106</v>
      </c>
      <c r="E812">
        <v>74857</v>
      </c>
      <c r="F812">
        <v>49622</v>
      </c>
      <c r="G812">
        <v>15</v>
      </c>
      <c r="H812" s="4">
        <v>121.69999999999999</v>
      </c>
      <c r="I812" s="2">
        <v>1</v>
      </c>
      <c r="J812">
        <v>0</v>
      </c>
      <c r="K812">
        <v>0</v>
      </c>
      <c r="L812">
        <v>0</v>
      </c>
      <c r="M812" s="1" t="s">
        <v>1413</v>
      </c>
      <c r="N812" s="1" t="s">
        <v>1414</v>
      </c>
    </row>
    <row r="813" spans="1:14" x14ac:dyDescent="0.25">
      <c r="A813" s="1" t="s">
        <v>822</v>
      </c>
      <c r="B813" s="1" t="s">
        <v>1133</v>
      </c>
      <c r="C813" s="1" t="s">
        <v>3</v>
      </c>
      <c r="D813">
        <v>672272</v>
      </c>
      <c r="E813">
        <v>52751</v>
      </c>
      <c r="F813">
        <v>73950</v>
      </c>
      <c r="G813">
        <v>15</v>
      </c>
      <c r="H813" s="4">
        <v>98</v>
      </c>
      <c r="I813" s="2">
        <v>0.6</v>
      </c>
      <c r="J813">
        <v>0</v>
      </c>
      <c r="K813">
        <v>0</v>
      </c>
      <c r="L813">
        <v>0</v>
      </c>
      <c r="M813" s="1" t="s">
        <v>1413</v>
      </c>
      <c r="N813" s="1" t="s">
        <v>1414</v>
      </c>
    </row>
    <row r="814" spans="1:14" x14ac:dyDescent="0.25">
      <c r="A814" s="1" t="s">
        <v>823</v>
      </c>
      <c r="B814" s="1" t="s">
        <v>1115</v>
      </c>
      <c r="C814" s="1" t="s">
        <v>12</v>
      </c>
      <c r="D814">
        <v>597756</v>
      </c>
      <c r="E814">
        <v>69236</v>
      </c>
      <c r="F814">
        <v>65753</v>
      </c>
      <c r="G814">
        <v>15</v>
      </c>
      <c r="H814" s="4">
        <v>95</v>
      </c>
      <c r="I814" s="2">
        <v>0.6</v>
      </c>
      <c r="J814">
        <v>0</v>
      </c>
      <c r="K814">
        <v>0</v>
      </c>
      <c r="L814">
        <v>0</v>
      </c>
      <c r="M814" s="1" t="s">
        <v>1413</v>
      </c>
      <c r="N814" s="1" t="s">
        <v>1414</v>
      </c>
    </row>
    <row r="815" spans="1:14" x14ac:dyDescent="0.25">
      <c r="A815" s="1" t="s">
        <v>824</v>
      </c>
      <c r="B815" s="1" t="s">
        <v>1389</v>
      </c>
      <c r="C815" s="1" t="s">
        <v>5</v>
      </c>
      <c r="D815">
        <v>627890</v>
      </c>
      <c r="E815">
        <v>18620</v>
      </c>
      <c r="F815">
        <v>69068</v>
      </c>
      <c r="G815">
        <v>15</v>
      </c>
      <c r="H815" s="4">
        <v>110.2</v>
      </c>
      <c r="I815" s="2">
        <v>0.93333333333333302</v>
      </c>
      <c r="J815">
        <v>0</v>
      </c>
      <c r="K815">
        <v>0</v>
      </c>
      <c r="L815">
        <v>0</v>
      </c>
      <c r="M815" s="1" t="s">
        <v>1413</v>
      </c>
      <c r="N815" s="1" t="s">
        <v>1414</v>
      </c>
    </row>
    <row r="816" spans="1:14" x14ac:dyDescent="0.25">
      <c r="A816" s="1" t="s">
        <v>825</v>
      </c>
      <c r="B816" s="1" t="s">
        <v>1257</v>
      </c>
      <c r="C816" s="1" t="s">
        <v>7</v>
      </c>
      <c r="D816">
        <v>819231</v>
      </c>
      <c r="E816">
        <v>81717</v>
      </c>
      <c r="F816">
        <v>90115</v>
      </c>
      <c r="G816">
        <v>15</v>
      </c>
      <c r="H816" s="4">
        <v>90.5</v>
      </c>
      <c r="I816" s="2">
        <v>0.66666666666666696</v>
      </c>
      <c r="J816">
        <v>0</v>
      </c>
      <c r="K816">
        <v>0</v>
      </c>
      <c r="L816">
        <v>0</v>
      </c>
      <c r="M816" s="1" t="s">
        <v>1413</v>
      </c>
      <c r="N816" s="1" t="s">
        <v>1414</v>
      </c>
    </row>
    <row r="817" spans="1:14" x14ac:dyDescent="0.25">
      <c r="A817" s="1" t="s">
        <v>826</v>
      </c>
      <c r="B817" s="1" t="s">
        <v>1163</v>
      </c>
      <c r="C817" s="1" t="s">
        <v>3</v>
      </c>
      <c r="D817">
        <v>657558</v>
      </c>
      <c r="E817">
        <v>27325</v>
      </c>
      <c r="F817">
        <v>72331</v>
      </c>
      <c r="G817">
        <v>15</v>
      </c>
      <c r="H817" s="4">
        <v>93.5</v>
      </c>
      <c r="I817" s="2">
        <v>0.6</v>
      </c>
      <c r="J817">
        <v>4</v>
      </c>
      <c r="K817">
        <v>1</v>
      </c>
      <c r="L817">
        <v>0</v>
      </c>
      <c r="M817" s="1" t="s">
        <v>1413</v>
      </c>
      <c r="N817" s="1" t="s">
        <v>1414</v>
      </c>
    </row>
    <row r="818" spans="1:14" x14ac:dyDescent="0.25">
      <c r="A818" s="1" t="s">
        <v>827</v>
      </c>
      <c r="B818" s="1" t="s">
        <v>1305</v>
      </c>
      <c r="C818" s="1" t="s">
        <v>7</v>
      </c>
      <c r="D818">
        <v>762810</v>
      </c>
      <c r="E818">
        <v>12791</v>
      </c>
      <c r="F818">
        <v>83909</v>
      </c>
      <c r="G818">
        <v>15</v>
      </c>
      <c r="H818" s="4">
        <v>111.49999999999999</v>
      </c>
      <c r="I818" s="2">
        <v>0.8</v>
      </c>
      <c r="J818">
        <v>19</v>
      </c>
      <c r="K818">
        <v>2</v>
      </c>
      <c r="L818">
        <v>0</v>
      </c>
      <c r="M818" s="1" t="s">
        <v>1413</v>
      </c>
      <c r="N818" s="1" t="s">
        <v>1414</v>
      </c>
    </row>
    <row r="819" spans="1:14" x14ac:dyDescent="0.25">
      <c r="A819" s="1" t="s">
        <v>828</v>
      </c>
      <c r="B819" s="1" t="s">
        <v>1350</v>
      </c>
      <c r="C819" s="1" t="s">
        <v>3</v>
      </c>
      <c r="D819">
        <v>372190</v>
      </c>
      <c r="E819">
        <v>8308</v>
      </c>
      <c r="F819">
        <v>40941</v>
      </c>
      <c r="G819">
        <v>15</v>
      </c>
      <c r="H819" s="4">
        <v>84.499999999999986</v>
      </c>
      <c r="I819" s="2">
        <v>0.66666666666666696</v>
      </c>
      <c r="J819">
        <v>8</v>
      </c>
      <c r="K819">
        <v>1</v>
      </c>
      <c r="L819">
        <v>0</v>
      </c>
      <c r="M819" s="1" t="s">
        <v>1413</v>
      </c>
      <c r="N819" s="1" t="s">
        <v>1414</v>
      </c>
    </row>
    <row r="820" spans="1:14" x14ac:dyDescent="0.25">
      <c r="A820" s="1" t="s">
        <v>829</v>
      </c>
      <c r="B820" s="1" t="s">
        <v>1223</v>
      </c>
      <c r="C820" s="1" t="s">
        <v>52</v>
      </c>
      <c r="D820">
        <v>373169</v>
      </c>
      <c r="E820">
        <v>80526</v>
      </c>
      <c r="F820">
        <v>41049</v>
      </c>
      <c r="G820">
        <v>15</v>
      </c>
      <c r="H820" s="4">
        <v>85.999999999999986</v>
      </c>
      <c r="I820" s="2">
        <v>0.53333333333333299</v>
      </c>
      <c r="J820">
        <v>12</v>
      </c>
      <c r="K820">
        <v>1</v>
      </c>
      <c r="L820">
        <v>0</v>
      </c>
      <c r="M820" s="1" t="s">
        <v>1413</v>
      </c>
      <c r="N820" s="1" t="s">
        <v>1414</v>
      </c>
    </row>
    <row r="821" spans="1:14" x14ac:dyDescent="0.25">
      <c r="A821" s="1" t="s">
        <v>830</v>
      </c>
      <c r="B821" s="1" t="s">
        <v>1057</v>
      </c>
      <c r="C821" s="1" t="s">
        <v>27</v>
      </c>
      <c r="D821">
        <v>832001</v>
      </c>
      <c r="E821">
        <v>78012</v>
      </c>
      <c r="F821">
        <v>91520</v>
      </c>
      <c r="G821">
        <v>15</v>
      </c>
      <c r="H821" s="4">
        <v>105.10000000000001</v>
      </c>
      <c r="I821" s="2">
        <v>0.8</v>
      </c>
      <c r="J821">
        <v>0</v>
      </c>
      <c r="K821">
        <v>0</v>
      </c>
      <c r="L821">
        <v>0</v>
      </c>
      <c r="M821" s="1" t="s">
        <v>1413</v>
      </c>
      <c r="N821" s="1" t="s">
        <v>1414</v>
      </c>
    </row>
    <row r="822" spans="1:14" x14ac:dyDescent="0.25">
      <c r="A822" s="1" t="s">
        <v>831</v>
      </c>
      <c r="B822" s="1" t="s">
        <v>1235</v>
      </c>
      <c r="C822" s="1" t="s">
        <v>7</v>
      </c>
      <c r="D822">
        <v>709050</v>
      </c>
      <c r="E822">
        <v>9655</v>
      </c>
      <c r="F822">
        <v>77996</v>
      </c>
      <c r="G822">
        <v>15</v>
      </c>
      <c r="H822" s="4">
        <v>104.80000000000001</v>
      </c>
      <c r="I822" s="2">
        <v>0.86666666666666703</v>
      </c>
      <c r="J822">
        <v>9</v>
      </c>
      <c r="K822">
        <v>2</v>
      </c>
      <c r="L822">
        <v>0</v>
      </c>
      <c r="M822" s="1" t="s">
        <v>1413</v>
      </c>
      <c r="N822" s="1" t="s">
        <v>1414</v>
      </c>
    </row>
    <row r="823" spans="1:14" x14ac:dyDescent="0.25">
      <c r="A823" s="1" t="s">
        <v>832</v>
      </c>
      <c r="B823" s="1" t="s">
        <v>1243</v>
      </c>
      <c r="C823" s="1" t="s">
        <v>5</v>
      </c>
      <c r="D823">
        <v>329748</v>
      </c>
      <c r="E823">
        <v>37561</v>
      </c>
      <c r="F823">
        <v>36272</v>
      </c>
      <c r="G823">
        <v>15</v>
      </c>
      <c r="H823" s="4">
        <v>112.19999999999999</v>
      </c>
      <c r="I823" s="2">
        <v>0.86666666666666703</v>
      </c>
      <c r="J823">
        <v>0</v>
      </c>
      <c r="K823">
        <v>0</v>
      </c>
      <c r="L823">
        <v>0</v>
      </c>
      <c r="M823" s="1" t="s">
        <v>1413</v>
      </c>
      <c r="N823" s="1" t="s">
        <v>1414</v>
      </c>
    </row>
    <row r="824" spans="1:14" x14ac:dyDescent="0.25">
      <c r="A824" s="1" t="s">
        <v>833</v>
      </c>
      <c r="B824" s="1" t="s">
        <v>1390</v>
      </c>
      <c r="C824" s="1" t="s">
        <v>7</v>
      </c>
      <c r="D824">
        <v>354204</v>
      </c>
      <c r="E824">
        <v>86694</v>
      </c>
      <c r="F824">
        <v>38962</v>
      </c>
      <c r="G824">
        <v>15</v>
      </c>
      <c r="H824" s="4">
        <v>89.500000000000014</v>
      </c>
      <c r="I824" s="2">
        <v>0.6</v>
      </c>
      <c r="J824">
        <v>0</v>
      </c>
      <c r="K824">
        <v>0</v>
      </c>
      <c r="L824">
        <v>0</v>
      </c>
      <c r="M824" s="1" t="s">
        <v>1413</v>
      </c>
      <c r="N824" s="1" t="s">
        <v>1414</v>
      </c>
    </row>
    <row r="825" spans="1:14" x14ac:dyDescent="0.25">
      <c r="A825" s="1" t="s">
        <v>834</v>
      </c>
      <c r="B825" s="1" t="s">
        <v>1186</v>
      </c>
      <c r="C825" s="1" t="s">
        <v>52</v>
      </c>
      <c r="D825">
        <v>509857</v>
      </c>
      <c r="E825">
        <v>73837</v>
      </c>
      <c r="F825">
        <v>56084</v>
      </c>
      <c r="G825">
        <v>14</v>
      </c>
      <c r="H825" s="4">
        <v>104.60000000000001</v>
      </c>
      <c r="I825" s="2">
        <v>0.85714285714285698</v>
      </c>
      <c r="J825">
        <v>12</v>
      </c>
      <c r="K825">
        <v>2</v>
      </c>
      <c r="L825">
        <v>0</v>
      </c>
      <c r="M825" s="1" t="s">
        <v>1413</v>
      </c>
      <c r="N825" s="1" t="s">
        <v>1414</v>
      </c>
    </row>
    <row r="826" spans="1:14" x14ac:dyDescent="0.25">
      <c r="A826" s="1" t="s">
        <v>835</v>
      </c>
      <c r="B826" s="1" t="s">
        <v>1193</v>
      </c>
      <c r="C826" s="1" t="s">
        <v>37</v>
      </c>
      <c r="D826">
        <v>741013</v>
      </c>
      <c r="E826">
        <v>46748</v>
      </c>
      <c r="F826">
        <v>81511</v>
      </c>
      <c r="G826">
        <v>15</v>
      </c>
      <c r="H826" s="4">
        <v>121.1</v>
      </c>
      <c r="I826" s="2">
        <v>0.8</v>
      </c>
      <c r="J826">
        <v>7</v>
      </c>
      <c r="K826">
        <v>1</v>
      </c>
      <c r="L826">
        <v>0</v>
      </c>
      <c r="M826" s="1" t="s">
        <v>1413</v>
      </c>
      <c r="N826" s="1" t="s">
        <v>1414</v>
      </c>
    </row>
    <row r="827" spans="1:14" x14ac:dyDescent="0.25">
      <c r="A827" s="1" t="s">
        <v>836</v>
      </c>
      <c r="B827" s="1" t="s">
        <v>1245</v>
      </c>
      <c r="C827" s="1" t="s">
        <v>3</v>
      </c>
      <c r="D827">
        <v>491932</v>
      </c>
      <c r="E827">
        <v>89176</v>
      </c>
      <c r="F827">
        <v>54113</v>
      </c>
      <c r="G827">
        <v>15</v>
      </c>
      <c r="H827" s="4">
        <v>106</v>
      </c>
      <c r="I827" s="2">
        <v>0.8</v>
      </c>
      <c r="J827">
        <v>0</v>
      </c>
      <c r="K827">
        <v>0</v>
      </c>
      <c r="L827">
        <v>0</v>
      </c>
      <c r="M827" s="1" t="s">
        <v>1413</v>
      </c>
      <c r="N827" s="1" t="s">
        <v>1414</v>
      </c>
    </row>
    <row r="828" spans="1:14" x14ac:dyDescent="0.25">
      <c r="A828" s="1" t="s">
        <v>837</v>
      </c>
      <c r="B828" s="1" t="s">
        <v>1257</v>
      </c>
      <c r="C828" s="1" t="s">
        <v>7</v>
      </c>
      <c r="D828">
        <v>243113</v>
      </c>
      <c r="E828">
        <v>49226</v>
      </c>
      <c r="F828">
        <v>26742</v>
      </c>
      <c r="G828">
        <v>13</v>
      </c>
      <c r="H828" s="4">
        <v>82.6</v>
      </c>
      <c r="I828" s="2">
        <v>0.69230769230769196</v>
      </c>
      <c r="J828">
        <v>9</v>
      </c>
      <c r="K828">
        <v>2</v>
      </c>
      <c r="L828">
        <v>0</v>
      </c>
      <c r="M828" s="1" t="s">
        <v>1413</v>
      </c>
      <c r="N828" s="1" t="s">
        <v>1414</v>
      </c>
    </row>
    <row r="829" spans="1:14" x14ac:dyDescent="0.25">
      <c r="A829" s="1" t="s">
        <v>838</v>
      </c>
      <c r="B829" s="1" t="s">
        <v>1251</v>
      </c>
      <c r="C829" s="1" t="s">
        <v>3</v>
      </c>
      <c r="D829">
        <v>797338</v>
      </c>
      <c r="E829">
        <v>6883</v>
      </c>
      <c r="F829">
        <v>87707</v>
      </c>
      <c r="G829">
        <v>15</v>
      </c>
      <c r="H829" s="4">
        <v>109.00000000000001</v>
      </c>
      <c r="I829" s="2">
        <v>0.73333333333333295</v>
      </c>
      <c r="J829">
        <v>0</v>
      </c>
      <c r="K829">
        <v>0</v>
      </c>
      <c r="L829">
        <v>0</v>
      </c>
      <c r="M829" s="1" t="s">
        <v>1413</v>
      </c>
      <c r="N829" s="1" t="s">
        <v>1414</v>
      </c>
    </row>
    <row r="830" spans="1:14" x14ac:dyDescent="0.25">
      <c r="A830" s="1" t="s">
        <v>839</v>
      </c>
      <c r="B830" s="1" t="s">
        <v>1391</v>
      </c>
      <c r="C830" s="1" t="s">
        <v>3</v>
      </c>
      <c r="D830">
        <v>239178</v>
      </c>
      <c r="E830">
        <v>74164</v>
      </c>
      <c r="F830">
        <v>26310</v>
      </c>
      <c r="G830">
        <v>15</v>
      </c>
      <c r="H830" s="4">
        <v>111.89999999999999</v>
      </c>
      <c r="I830" s="2">
        <v>0.66666666666666696</v>
      </c>
      <c r="J830">
        <v>4</v>
      </c>
      <c r="K830">
        <v>1</v>
      </c>
      <c r="L830">
        <v>0</v>
      </c>
      <c r="M830" s="1" t="s">
        <v>1413</v>
      </c>
      <c r="N830" s="1" t="s">
        <v>1414</v>
      </c>
    </row>
    <row r="831" spans="1:14" x14ac:dyDescent="0.25">
      <c r="A831" s="1" t="s">
        <v>840</v>
      </c>
      <c r="B831" s="1" t="s">
        <v>1251</v>
      </c>
      <c r="C831" s="1" t="s">
        <v>27</v>
      </c>
      <c r="D831">
        <v>300318</v>
      </c>
      <c r="E831">
        <v>15087</v>
      </c>
      <c r="F831">
        <v>33035</v>
      </c>
      <c r="G831">
        <v>15</v>
      </c>
      <c r="H831" s="4">
        <v>113.19999999999999</v>
      </c>
      <c r="I831" s="2">
        <v>0.8</v>
      </c>
      <c r="J831">
        <v>0</v>
      </c>
      <c r="K831">
        <v>0</v>
      </c>
      <c r="L831">
        <v>0</v>
      </c>
      <c r="M831" s="1" t="s">
        <v>1413</v>
      </c>
      <c r="N831" s="1" t="s">
        <v>1414</v>
      </c>
    </row>
    <row r="832" spans="1:14" x14ac:dyDescent="0.25">
      <c r="A832" s="1" t="s">
        <v>841</v>
      </c>
      <c r="B832" s="1" t="s">
        <v>1190</v>
      </c>
      <c r="C832" s="1" t="s">
        <v>7</v>
      </c>
      <c r="D832">
        <v>580072</v>
      </c>
      <c r="E832">
        <v>29506</v>
      </c>
      <c r="F832">
        <v>63808</v>
      </c>
      <c r="G832">
        <v>15</v>
      </c>
      <c r="H832" s="4">
        <v>60.600000000000009</v>
      </c>
      <c r="I832" s="2">
        <v>0.4</v>
      </c>
      <c r="J832">
        <v>0</v>
      </c>
      <c r="K832">
        <v>0</v>
      </c>
      <c r="L832">
        <v>0</v>
      </c>
      <c r="M832" s="1" t="s">
        <v>1413</v>
      </c>
      <c r="N832" s="1" t="s">
        <v>1414</v>
      </c>
    </row>
    <row r="833" spans="1:14" x14ac:dyDescent="0.25">
      <c r="A833" s="1" t="s">
        <v>842</v>
      </c>
      <c r="B833" s="1" t="s">
        <v>1392</v>
      </c>
      <c r="C833" s="1" t="s">
        <v>37</v>
      </c>
      <c r="D833">
        <v>332114</v>
      </c>
      <c r="E833">
        <v>20588</v>
      </c>
      <c r="F833">
        <v>36533</v>
      </c>
      <c r="G833">
        <v>15</v>
      </c>
      <c r="H833" s="4">
        <v>104.2</v>
      </c>
      <c r="I833" s="2">
        <v>0.73333333333333295</v>
      </c>
      <c r="J833">
        <v>0</v>
      </c>
      <c r="K833">
        <v>0</v>
      </c>
      <c r="L833">
        <v>0</v>
      </c>
      <c r="M833" s="1" t="s">
        <v>1413</v>
      </c>
      <c r="N833" s="1" t="s">
        <v>1414</v>
      </c>
    </row>
    <row r="834" spans="1:14" x14ac:dyDescent="0.25">
      <c r="A834" s="1" t="s">
        <v>843</v>
      </c>
      <c r="B834" s="1" t="s">
        <v>1100</v>
      </c>
      <c r="C834" s="1" t="s">
        <v>27</v>
      </c>
      <c r="D834">
        <v>400981</v>
      </c>
      <c r="E834">
        <v>49971</v>
      </c>
      <c r="F834">
        <v>44108</v>
      </c>
      <c r="G834">
        <v>15</v>
      </c>
      <c r="H834" s="4">
        <v>95.2</v>
      </c>
      <c r="I834" s="2">
        <v>0.8</v>
      </c>
      <c r="J834">
        <v>24</v>
      </c>
      <c r="K834">
        <v>2</v>
      </c>
      <c r="L834">
        <v>0</v>
      </c>
      <c r="M834" s="1" t="s">
        <v>1413</v>
      </c>
      <c r="N834" s="1" t="s">
        <v>1414</v>
      </c>
    </row>
    <row r="835" spans="1:14" x14ac:dyDescent="0.25">
      <c r="A835" s="1" t="s">
        <v>844</v>
      </c>
      <c r="B835" s="1" t="s">
        <v>1393</v>
      </c>
      <c r="C835" s="1" t="s">
        <v>5</v>
      </c>
      <c r="D835">
        <v>615558</v>
      </c>
      <c r="E835">
        <v>64133</v>
      </c>
      <c r="F835">
        <v>67711</v>
      </c>
      <c r="G835">
        <v>14</v>
      </c>
      <c r="H835" s="4">
        <v>100.60000000000001</v>
      </c>
      <c r="I835" s="2">
        <v>0.85714285714285698</v>
      </c>
      <c r="J835">
        <v>0</v>
      </c>
      <c r="K835">
        <v>0</v>
      </c>
      <c r="L835">
        <v>0</v>
      </c>
      <c r="M835" s="1" t="s">
        <v>1413</v>
      </c>
      <c r="N835" s="1" t="s">
        <v>1414</v>
      </c>
    </row>
    <row r="836" spans="1:14" x14ac:dyDescent="0.25">
      <c r="A836" s="1" t="s">
        <v>845</v>
      </c>
      <c r="B836" s="1" t="s">
        <v>1032</v>
      </c>
      <c r="C836" s="1" t="s">
        <v>3</v>
      </c>
      <c r="D836">
        <v>779092</v>
      </c>
      <c r="E836">
        <v>89476</v>
      </c>
      <c r="F836">
        <v>85700</v>
      </c>
      <c r="G836">
        <v>15</v>
      </c>
      <c r="H836" s="4">
        <v>110</v>
      </c>
      <c r="I836" s="2">
        <v>0.93333333333333302</v>
      </c>
      <c r="J836">
        <v>0</v>
      </c>
      <c r="K836">
        <v>0</v>
      </c>
      <c r="L836">
        <v>0</v>
      </c>
      <c r="M836" s="1" t="s">
        <v>1413</v>
      </c>
      <c r="N836" s="1" t="s">
        <v>1414</v>
      </c>
    </row>
    <row r="837" spans="1:14" x14ac:dyDescent="0.25">
      <c r="A837" s="1" t="s">
        <v>846</v>
      </c>
      <c r="B837" s="1" t="s">
        <v>1302</v>
      </c>
      <c r="C837" s="1" t="s">
        <v>5</v>
      </c>
      <c r="D837">
        <v>611674</v>
      </c>
      <c r="E837">
        <v>65960</v>
      </c>
      <c r="F837">
        <v>67284</v>
      </c>
      <c r="G837">
        <v>15</v>
      </c>
      <c r="H837" s="4">
        <v>97.299999999999983</v>
      </c>
      <c r="I837" s="2">
        <v>0.66666666666666696</v>
      </c>
      <c r="J837">
        <v>0</v>
      </c>
      <c r="K837">
        <v>0</v>
      </c>
      <c r="L837">
        <v>0</v>
      </c>
      <c r="M837" s="1" t="s">
        <v>1413</v>
      </c>
      <c r="N837" s="1" t="s">
        <v>1414</v>
      </c>
    </row>
    <row r="838" spans="1:14" x14ac:dyDescent="0.25">
      <c r="A838" s="1" t="s">
        <v>847</v>
      </c>
      <c r="B838" s="1" t="s">
        <v>1099</v>
      </c>
      <c r="C838" s="1" t="s">
        <v>37</v>
      </c>
      <c r="D838">
        <v>354978</v>
      </c>
      <c r="E838">
        <v>75300</v>
      </c>
      <c r="F838">
        <v>39048</v>
      </c>
      <c r="G838">
        <v>15</v>
      </c>
      <c r="H838" s="4">
        <v>97.100000000000009</v>
      </c>
      <c r="I838" s="2">
        <v>0.73333333333333295</v>
      </c>
      <c r="J838">
        <v>0</v>
      </c>
      <c r="K838">
        <v>0</v>
      </c>
      <c r="L838">
        <v>0</v>
      </c>
      <c r="M838" s="1" t="s">
        <v>1413</v>
      </c>
      <c r="N838" s="1" t="s">
        <v>1414</v>
      </c>
    </row>
    <row r="839" spans="1:14" x14ac:dyDescent="0.25">
      <c r="A839" s="1" t="s">
        <v>848</v>
      </c>
      <c r="B839" s="1" t="s">
        <v>1367</v>
      </c>
      <c r="C839" s="1" t="s">
        <v>37</v>
      </c>
      <c r="D839">
        <v>289380</v>
      </c>
      <c r="E839">
        <v>253</v>
      </c>
      <c r="F839">
        <v>31832</v>
      </c>
      <c r="G839">
        <v>15</v>
      </c>
      <c r="H839" s="4">
        <v>111.50000000000001</v>
      </c>
      <c r="I839" s="2">
        <v>0.8</v>
      </c>
      <c r="J839">
        <v>0</v>
      </c>
      <c r="K839">
        <v>0</v>
      </c>
      <c r="L839">
        <v>0</v>
      </c>
      <c r="M839" s="1" t="s">
        <v>1413</v>
      </c>
      <c r="N839" s="1" t="s">
        <v>1414</v>
      </c>
    </row>
    <row r="840" spans="1:14" x14ac:dyDescent="0.25">
      <c r="A840" s="1" t="s">
        <v>849</v>
      </c>
      <c r="B840" s="1" t="s">
        <v>1196</v>
      </c>
      <c r="C840" s="1" t="s">
        <v>52</v>
      </c>
      <c r="D840">
        <v>843319</v>
      </c>
      <c r="E840">
        <v>50326</v>
      </c>
      <c r="F840">
        <v>92765</v>
      </c>
      <c r="G840">
        <v>15</v>
      </c>
      <c r="H840" s="4">
        <v>101.3</v>
      </c>
      <c r="I840" s="2">
        <v>0.86666666666666703</v>
      </c>
      <c r="J840">
        <v>0</v>
      </c>
      <c r="K840">
        <v>0</v>
      </c>
      <c r="L840">
        <v>0</v>
      </c>
      <c r="M840" s="1" t="s">
        <v>1413</v>
      </c>
      <c r="N840" s="1" t="s">
        <v>1414</v>
      </c>
    </row>
    <row r="841" spans="1:14" x14ac:dyDescent="0.25">
      <c r="A841" s="1" t="s">
        <v>850</v>
      </c>
      <c r="B841" s="1" t="s">
        <v>1321</v>
      </c>
      <c r="C841" s="1" t="s">
        <v>7</v>
      </c>
      <c r="D841">
        <v>582648</v>
      </c>
      <c r="E841">
        <v>9512</v>
      </c>
      <c r="F841">
        <v>64091</v>
      </c>
      <c r="G841">
        <v>15</v>
      </c>
      <c r="H841" s="4">
        <v>105.39999999999999</v>
      </c>
      <c r="I841" s="2">
        <v>0.73333333333333295</v>
      </c>
      <c r="J841">
        <v>13</v>
      </c>
      <c r="K841">
        <v>2</v>
      </c>
      <c r="L841">
        <v>0</v>
      </c>
      <c r="M841" s="1" t="s">
        <v>1413</v>
      </c>
      <c r="N841" s="1" t="s">
        <v>1414</v>
      </c>
    </row>
    <row r="842" spans="1:14" x14ac:dyDescent="0.25">
      <c r="A842" s="1" t="s">
        <v>851</v>
      </c>
      <c r="B842" s="1" t="s">
        <v>1392</v>
      </c>
      <c r="C842" s="1" t="s">
        <v>7</v>
      </c>
      <c r="D842">
        <v>642395</v>
      </c>
      <c r="E842">
        <v>84237</v>
      </c>
      <c r="F842">
        <v>70663</v>
      </c>
      <c r="G842">
        <v>14</v>
      </c>
      <c r="H842" s="4">
        <v>110.29999999999998</v>
      </c>
      <c r="I842" s="2">
        <v>1</v>
      </c>
      <c r="J842">
        <v>0</v>
      </c>
      <c r="K842">
        <v>0</v>
      </c>
      <c r="L842">
        <v>0</v>
      </c>
      <c r="M842" s="1" t="s">
        <v>1413</v>
      </c>
      <c r="N842" s="1" t="s">
        <v>1414</v>
      </c>
    </row>
    <row r="843" spans="1:14" x14ac:dyDescent="0.25">
      <c r="A843" s="1" t="s">
        <v>852</v>
      </c>
      <c r="B843" s="1" t="s">
        <v>1377</v>
      </c>
      <c r="C843" s="1" t="s">
        <v>37</v>
      </c>
      <c r="D843">
        <v>480939</v>
      </c>
      <c r="E843">
        <v>13785</v>
      </c>
      <c r="F843">
        <v>52903</v>
      </c>
      <c r="G843">
        <v>14</v>
      </c>
      <c r="H843" s="4">
        <v>105.40000000000002</v>
      </c>
      <c r="I843" s="2">
        <v>0.57142857142857095</v>
      </c>
      <c r="J843">
        <v>12</v>
      </c>
      <c r="K843">
        <v>1</v>
      </c>
      <c r="L843">
        <v>0</v>
      </c>
      <c r="M843" s="1" t="s">
        <v>1413</v>
      </c>
      <c r="N843" s="1" t="s">
        <v>1414</v>
      </c>
    </row>
    <row r="844" spans="1:14" x14ac:dyDescent="0.25">
      <c r="A844" s="1" t="s">
        <v>853</v>
      </c>
      <c r="B844" s="1" t="s">
        <v>1152</v>
      </c>
      <c r="C844" s="1" t="s">
        <v>1037</v>
      </c>
      <c r="D844">
        <v>314054</v>
      </c>
      <c r="E844">
        <v>12594</v>
      </c>
      <c r="F844">
        <v>34546</v>
      </c>
      <c r="G844">
        <v>15</v>
      </c>
      <c r="H844" s="4">
        <v>113</v>
      </c>
      <c r="I844" s="2">
        <v>0.86666666666666703</v>
      </c>
      <c r="J844">
        <v>9</v>
      </c>
      <c r="K844">
        <v>1</v>
      </c>
      <c r="L844">
        <v>0</v>
      </c>
      <c r="M844" s="1" t="s">
        <v>1413</v>
      </c>
      <c r="N844" s="1" t="s">
        <v>1414</v>
      </c>
    </row>
    <row r="845" spans="1:14" x14ac:dyDescent="0.25">
      <c r="A845" s="1" t="s">
        <v>854</v>
      </c>
      <c r="B845" s="1" t="s">
        <v>1311</v>
      </c>
      <c r="C845" s="1" t="s">
        <v>23</v>
      </c>
      <c r="D845">
        <v>783578</v>
      </c>
      <c r="E845">
        <v>15246</v>
      </c>
      <c r="F845">
        <v>86194</v>
      </c>
      <c r="G845">
        <v>15</v>
      </c>
      <c r="H845" s="4">
        <v>104.8</v>
      </c>
      <c r="I845" s="2">
        <v>0.86666666666666703</v>
      </c>
      <c r="J845">
        <v>29</v>
      </c>
      <c r="K845">
        <v>3</v>
      </c>
      <c r="L845">
        <v>0</v>
      </c>
      <c r="M845" s="1" t="s">
        <v>1413</v>
      </c>
      <c r="N845" s="1" t="s">
        <v>1414</v>
      </c>
    </row>
    <row r="846" spans="1:14" x14ac:dyDescent="0.25">
      <c r="A846" s="1" t="s">
        <v>855</v>
      </c>
      <c r="B846" s="1" t="s">
        <v>1328</v>
      </c>
      <c r="C846" s="1" t="s">
        <v>9</v>
      </c>
      <c r="D846">
        <v>598376</v>
      </c>
      <c r="E846">
        <v>69005</v>
      </c>
      <c r="F846">
        <v>65821</v>
      </c>
      <c r="G846">
        <v>15</v>
      </c>
      <c r="H846" s="4">
        <v>89.6</v>
      </c>
      <c r="I846" s="2">
        <v>0.6</v>
      </c>
      <c r="J846">
        <v>0</v>
      </c>
      <c r="K846">
        <v>0</v>
      </c>
      <c r="L846">
        <v>0</v>
      </c>
      <c r="M846" s="1" t="s">
        <v>1413</v>
      </c>
      <c r="N846" s="1" t="s">
        <v>1414</v>
      </c>
    </row>
    <row r="847" spans="1:14" x14ac:dyDescent="0.25">
      <c r="A847" s="1" t="s">
        <v>856</v>
      </c>
      <c r="B847" s="1" t="s">
        <v>1394</v>
      </c>
      <c r="C847" s="1" t="s">
        <v>1037</v>
      </c>
      <c r="D847">
        <v>727216</v>
      </c>
      <c r="E847">
        <v>61010</v>
      </c>
      <c r="F847">
        <v>79994</v>
      </c>
      <c r="G847">
        <v>15</v>
      </c>
      <c r="H847" s="4">
        <v>110.49999999999999</v>
      </c>
      <c r="I847" s="2">
        <v>0.93333333333333302</v>
      </c>
      <c r="J847">
        <v>0</v>
      </c>
      <c r="K847">
        <v>0</v>
      </c>
      <c r="L847">
        <v>0</v>
      </c>
      <c r="M847" s="1" t="s">
        <v>1413</v>
      </c>
      <c r="N847" s="1" t="s">
        <v>1414</v>
      </c>
    </row>
    <row r="848" spans="1:14" x14ac:dyDescent="0.25">
      <c r="A848" s="1" t="s">
        <v>857</v>
      </c>
      <c r="B848" s="1" t="s">
        <v>1195</v>
      </c>
      <c r="C848" s="1" t="s">
        <v>52</v>
      </c>
      <c r="D848">
        <v>675045</v>
      </c>
      <c r="E848">
        <v>8687</v>
      </c>
      <c r="F848">
        <v>74255</v>
      </c>
      <c r="G848">
        <v>15</v>
      </c>
      <c r="H848" s="4">
        <v>120.49999999999999</v>
      </c>
      <c r="I848" s="2">
        <v>0.93333333333333302</v>
      </c>
      <c r="J848">
        <v>8</v>
      </c>
      <c r="K848">
        <v>1</v>
      </c>
      <c r="L848">
        <v>0</v>
      </c>
      <c r="M848" s="1" t="s">
        <v>1413</v>
      </c>
      <c r="N848" s="1" t="s">
        <v>1414</v>
      </c>
    </row>
    <row r="849" spans="1:14" x14ac:dyDescent="0.25">
      <c r="A849" s="1" t="s">
        <v>858</v>
      </c>
      <c r="B849" s="1" t="s">
        <v>1242</v>
      </c>
      <c r="C849" s="1" t="s">
        <v>7</v>
      </c>
      <c r="D849">
        <v>281911</v>
      </c>
      <c r="E849">
        <v>80782</v>
      </c>
      <c r="F849">
        <v>31010</v>
      </c>
      <c r="G849">
        <v>15</v>
      </c>
      <c r="H849" s="4">
        <v>103.2</v>
      </c>
      <c r="I849" s="2">
        <v>0.8</v>
      </c>
      <c r="J849">
        <v>10</v>
      </c>
      <c r="K849">
        <v>1</v>
      </c>
      <c r="L849">
        <v>0</v>
      </c>
      <c r="M849" s="1" t="s">
        <v>1413</v>
      </c>
      <c r="N849" s="1" t="s">
        <v>1414</v>
      </c>
    </row>
    <row r="850" spans="1:14" x14ac:dyDescent="0.25">
      <c r="A850" s="1" t="s">
        <v>859</v>
      </c>
      <c r="B850" s="1" t="s">
        <v>1120</v>
      </c>
      <c r="C850" s="1" t="s">
        <v>9</v>
      </c>
      <c r="D850">
        <v>278812</v>
      </c>
      <c r="E850">
        <v>27640</v>
      </c>
      <c r="F850">
        <v>30669</v>
      </c>
      <c r="G850">
        <v>15</v>
      </c>
      <c r="H850" s="4">
        <v>102.39999999999996</v>
      </c>
      <c r="I850" s="2">
        <v>0.73333333333333295</v>
      </c>
      <c r="J850">
        <v>19</v>
      </c>
      <c r="K850">
        <v>2</v>
      </c>
      <c r="L850">
        <v>0</v>
      </c>
      <c r="M850" s="1" t="s">
        <v>1413</v>
      </c>
      <c r="N850" s="1" t="s">
        <v>1414</v>
      </c>
    </row>
    <row r="851" spans="1:14" x14ac:dyDescent="0.25">
      <c r="A851" s="1" t="s">
        <v>860</v>
      </c>
      <c r="B851" s="1" t="s">
        <v>1074</v>
      </c>
      <c r="C851" s="1" t="s">
        <v>12</v>
      </c>
      <c r="D851">
        <v>704021</v>
      </c>
      <c r="E851">
        <v>35178</v>
      </c>
      <c r="F851">
        <v>77442</v>
      </c>
      <c r="G851">
        <v>15</v>
      </c>
      <c r="H851" s="4">
        <v>102.20000000000002</v>
      </c>
      <c r="I851" s="2">
        <v>0.86666666666666703</v>
      </c>
      <c r="J851">
        <v>24</v>
      </c>
      <c r="K851">
        <v>2</v>
      </c>
      <c r="L851">
        <v>0</v>
      </c>
      <c r="M851" s="1" t="s">
        <v>1413</v>
      </c>
      <c r="N851" s="1" t="s">
        <v>1414</v>
      </c>
    </row>
    <row r="852" spans="1:14" x14ac:dyDescent="0.25">
      <c r="A852" s="1" t="s">
        <v>861</v>
      </c>
      <c r="B852" s="1" t="s">
        <v>1161</v>
      </c>
      <c r="C852" s="1" t="s">
        <v>5</v>
      </c>
      <c r="D852">
        <v>550304</v>
      </c>
      <c r="E852">
        <v>64452</v>
      </c>
      <c r="F852">
        <v>60533</v>
      </c>
      <c r="G852">
        <v>15</v>
      </c>
      <c r="H852" s="4">
        <v>114.8</v>
      </c>
      <c r="I852" s="2">
        <v>0.86666666666666703</v>
      </c>
      <c r="J852">
        <v>9</v>
      </c>
      <c r="K852">
        <v>1</v>
      </c>
      <c r="L852">
        <v>0</v>
      </c>
      <c r="M852" s="1" t="s">
        <v>1413</v>
      </c>
      <c r="N852" s="1" t="s">
        <v>1414</v>
      </c>
    </row>
    <row r="853" spans="1:14" x14ac:dyDescent="0.25">
      <c r="A853" s="1" t="s">
        <v>862</v>
      </c>
      <c r="B853" s="1" t="s">
        <v>1265</v>
      </c>
      <c r="C853" s="1" t="s">
        <v>3</v>
      </c>
      <c r="D853">
        <v>790040</v>
      </c>
      <c r="E853">
        <v>75358</v>
      </c>
      <c r="F853">
        <v>86904</v>
      </c>
      <c r="G853">
        <v>15</v>
      </c>
      <c r="H853" s="4">
        <v>113.69999999999999</v>
      </c>
      <c r="I853" s="2">
        <v>0.86666666666666703</v>
      </c>
      <c r="J853">
        <v>3</v>
      </c>
      <c r="K853">
        <v>1</v>
      </c>
      <c r="L853">
        <v>0</v>
      </c>
      <c r="M853" s="1" t="s">
        <v>1413</v>
      </c>
      <c r="N853" s="1" t="s">
        <v>1414</v>
      </c>
    </row>
    <row r="854" spans="1:14" x14ac:dyDescent="0.25">
      <c r="A854" s="1" t="s">
        <v>863</v>
      </c>
      <c r="B854" s="1" t="s">
        <v>1057</v>
      </c>
      <c r="C854" s="1" t="s">
        <v>23</v>
      </c>
      <c r="D854">
        <v>493045</v>
      </c>
      <c r="E854">
        <v>14067</v>
      </c>
      <c r="F854">
        <v>54235</v>
      </c>
      <c r="G854">
        <v>15</v>
      </c>
      <c r="H854" s="4">
        <v>112.20000000000002</v>
      </c>
      <c r="I854" s="2">
        <v>0.86666666666666703</v>
      </c>
      <c r="J854">
        <v>0</v>
      </c>
      <c r="K854">
        <v>0</v>
      </c>
      <c r="L854">
        <v>0</v>
      </c>
      <c r="M854" s="1" t="s">
        <v>1413</v>
      </c>
      <c r="N854" s="1" t="s">
        <v>1414</v>
      </c>
    </row>
    <row r="855" spans="1:14" x14ac:dyDescent="0.25">
      <c r="A855" s="1" t="s">
        <v>864</v>
      </c>
      <c r="B855" s="1" t="s">
        <v>1395</v>
      </c>
      <c r="C855" s="1" t="s">
        <v>5</v>
      </c>
      <c r="D855">
        <v>592196</v>
      </c>
      <c r="E855">
        <v>15247</v>
      </c>
      <c r="F855">
        <v>65142</v>
      </c>
      <c r="G855">
        <v>15</v>
      </c>
      <c r="H855" s="4">
        <v>122.9</v>
      </c>
      <c r="I855" s="2">
        <v>0.93333333333333302</v>
      </c>
      <c r="J855">
        <v>0</v>
      </c>
      <c r="K855">
        <v>0</v>
      </c>
      <c r="L855">
        <v>0</v>
      </c>
      <c r="M855" s="1" t="s">
        <v>1413</v>
      </c>
      <c r="N855" s="1" t="s">
        <v>1414</v>
      </c>
    </row>
    <row r="856" spans="1:14" x14ac:dyDescent="0.25">
      <c r="A856" s="1" t="s">
        <v>865</v>
      </c>
      <c r="B856" s="1" t="s">
        <v>1273</v>
      </c>
      <c r="C856" s="1" t="s">
        <v>5</v>
      </c>
      <c r="D856">
        <v>831496</v>
      </c>
      <c r="E856">
        <v>15843</v>
      </c>
      <c r="F856">
        <v>91465</v>
      </c>
      <c r="G856">
        <v>15</v>
      </c>
      <c r="H856" s="4">
        <v>121.99999999999999</v>
      </c>
      <c r="I856" s="2">
        <v>0.66666666666666696</v>
      </c>
      <c r="J856">
        <v>0</v>
      </c>
      <c r="K856">
        <v>0</v>
      </c>
      <c r="L856">
        <v>0</v>
      </c>
      <c r="M856" s="1" t="s">
        <v>1413</v>
      </c>
      <c r="N856" s="1" t="s">
        <v>1414</v>
      </c>
    </row>
    <row r="857" spans="1:14" x14ac:dyDescent="0.25">
      <c r="A857" s="1" t="s">
        <v>866</v>
      </c>
      <c r="B857" s="1" t="s">
        <v>1064</v>
      </c>
      <c r="C857" s="1" t="s">
        <v>52</v>
      </c>
      <c r="D857">
        <v>332108</v>
      </c>
      <c r="E857">
        <v>55940</v>
      </c>
      <c r="F857">
        <v>36532</v>
      </c>
      <c r="G857">
        <v>15</v>
      </c>
      <c r="H857" s="4">
        <v>103.99999999999999</v>
      </c>
      <c r="I857" s="2">
        <v>0.86666666666666703</v>
      </c>
      <c r="J857">
        <v>0</v>
      </c>
      <c r="K857">
        <v>0</v>
      </c>
      <c r="L857">
        <v>0</v>
      </c>
      <c r="M857" s="1" t="s">
        <v>1413</v>
      </c>
      <c r="N857" s="1" t="s">
        <v>1414</v>
      </c>
    </row>
    <row r="858" spans="1:14" x14ac:dyDescent="0.25">
      <c r="A858" s="1" t="s">
        <v>867</v>
      </c>
      <c r="B858" s="1" t="s">
        <v>1340</v>
      </c>
      <c r="C858" s="1" t="s">
        <v>52</v>
      </c>
      <c r="D858">
        <v>446141</v>
      </c>
      <c r="E858">
        <v>66931</v>
      </c>
      <c r="F858">
        <v>49076</v>
      </c>
      <c r="G858">
        <v>15</v>
      </c>
      <c r="H858" s="4">
        <v>117</v>
      </c>
      <c r="I858" s="2">
        <v>0.8</v>
      </c>
      <c r="J858">
        <v>17</v>
      </c>
      <c r="K858">
        <v>2</v>
      </c>
      <c r="L858">
        <v>0</v>
      </c>
      <c r="M858" s="1" t="s">
        <v>1413</v>
      </c>
      <c r="N858" s="1" t="s">
        <v>1414</v>
      </c>
    </row>
    <row r="859" spans="1:14" x14ac:dyDescent="0.25">
      <c r="A859" s="1" t="s">
        <v>868</v>
      </c>
      <c r="B859" s="1" t="s">
        <v>1268</v>
      </c>
      <c r="C859" s="1" t="s">
        <v>5</v>
      </c>
      <c r="D859">
        <v>509624</v>
      </c>
      <c r="E859">
        <v>53898</v>
      </c>
      <c r="G859">
        <v>15</v>
      </c>
      <c r="H859" s="4">
        <v>90.000000000000014</v>
      </c>
      <c r="I859" s="2">
        <v>0.6</v>
      </c>
      <c r="J859">
        <v>0</v>
      </c>
      <c r="K859">
        <v>0</v>
      </c>
      <c r="L859">
        <v>0</v>
      </c>
      <c r="M859" s="1" t="s">
        <v>1413</v>
      </c>
      <c r="N859" s="1" t="s">
        <v>1414</v>
      </c>
    </row>
    <row r="860" spans="1:14" x14ac:dyDescent="0.25">
      <c r="A860" s="1" t="s">
        <v>869</v>
      </c>
      <c r="B860" s="1" t="s">
        <v>1331</v>
      </c>
      <c r="C860" s="1" t="s">
        <v>23</v>
      </c>
      <c r="D860">
        <v>528479</v>
      </c>
      <c r="E860">
        <v>43270</v>
      </c>
      <c r="F860">
        <v>58133</v>
      </c>
      <c r="G860">
        <v>15</v>
      </c>
      <c r="H860" s="4">
        <v>111.5</v>
      </c>
      <c r="I860" s="2">
        <v>0.93333333333333302</v>
      </c>
      <c r="J860">
        <v>15</v>
      </c>
      <c r="K860">
        <v>2</v>
      </c>
      <c r="L860">
        <v>0</v>
      </c>
      <c r="M860" s="1" t="s">
        <v>1413</v>
      </c>
      <c r="N860" s="1" t="s">
        <v>1414</v>
      </c>
    </row>
    <row r="861" spans="1:14" x14ac:dyDescent="0.25">
      <c r="A861" s="1" t="s">
        <v>870</v>
      </c>
      <c r="B861" s="1" t="s">
        <v>1396</v>
      </c>
      <c r="C861" s="1" t="s">
        <v>1037</v>
      </c>
      <c r="D861">
        <v>368682</v>
      </c>
      <c r="E861">
        <v>29349</v>
      </c>
      <c r="F861">
        <v>40555</v>
      </c>
      <c r="G861">
        <v>15</v>
      </c>
      <c r="H861" s="4">
        <v>87.199999999999989</v>
      </c>
      <c r="I861" s="2">
        <v>0.66666666666666696</v>
      </c>
      <c r="J861">
        <v>0</v>
      </c>
      <c r="K861">
        <v>0</v>
      </c>
      <c r="L861">
        <v>0</v>
      </c>
      <c r="M861" s="1" t="s">
        <v>1413</v>
      </c>
      <c r="N861" s="1" t="s">
        <v>1414</v>
      </c>
    </row>
    <row r="862" spans="1:14" x14ac:dyDescent="0.25">
      <c r="A862" s="1" t="s">
        <v>871</v>
      </c>
      <c r="B862" s="1" t="s">
        <v>1113</v>
      </c>
      <c r="C862" s="1" t="s">
        <v>37</v>
      </c>
      <c r="D862">
        <v>821571</v>
      </c>
      <c r="E862">
        <v>9560</v>
      </c>
      <c r="F862">
        <v>90373</v>
      </c>
      <c r="G862">
        <v>15</v>
      </c>
      <c r="H862" s="4">
        <v>105.79999999999998</v>
      </c>
      <c r="I862" s="2">
        <v>0.66666666666666696</v>
      </c>
      <c r="J862">
        <v>0</v>
      </c>
      <c r="K862">
        <v>0</v>
      </c>
      <c r="L862">
        <v>0</v>
      </c>
      <c r="M862" s="1" t="s">
        <v>1413</v>
      </c>
      <c r="N862" s="1" t="s">
        <v>1414</v>
      </c>
    </row>
    <row r="863" spans="1:14" x14ac:dyDescent="0.25">
      <c r="A863" s="1" t="s">
        <v>872</v>
      </c>
      <c r="B863" s="1" t="s">
        <v>1095</v>
      </c>
      <c r="C863" s="1" t="s">
        <v>23</v>
      </c>
      <c r="D863">
        <v>811532</v>
      </c>
      <c r="E863">
        <v>72795</v>
      </c>
      <c r="G863">
        <v>15</v>
      </c>
      <c r="H863" s="4">
        <v>113.00000000000001</v>
      </c>
      <c r="I863" s="2">
        <v>0.8</v>
      </c>
      <c r="J863">
        <v>0</v>
      </c>
      <c r="K863">
        <v>0</v>
      </c>
      <c r="L863">
        <v>0</v>
      </c>
      <c r="M863" s="1" t="s">
        <v>1413</v>
      </c>
      <c r="N863" s="1" t="s">
        <v>1414</v>
      </c>
    </row>
    <row r="864" spans="1:14" x14ac:dyDescent="0.25">
      <c r="A864" s="1" t="s">
        <v>873</v>
      </c>
      <c r="B864" s="1" t="s">
        <v>1147</v>
      </c>
      <c r="C864" s="1" t="s">
        <v>3</v>
      </c>
      <c r="D864">
        <v>519948</v>
      </c>
      <c r="E864">
        <v>41190</v>
      </c>
      <c r="F864">
        <v>57194</v>
      </c>
      <c r="G864">
        <v>15</v>
      </c>
      <c r="H864" s="4">
        <v>105.70000000000002</v>
      </c>
      <c r="I864" s="2">
        <v>0.73333333333333295</v>
      </c>
      <c r="J864">
        <v>0</v>
      </c>
      <c r="K864">
        <v>0</v>
      </c>
      <c r="L864">
        <v>0</v>
      </c>
      <c r="M864" s="1" t="s">
        <v>1413</v>
      </c>
      <c r="N864" s="1" t="s">
        <v>1414</v>
      </c>
    </row>
    <row r="865" spans="1:14" x14ac:dyDescent="0.25">
      <c r="A865" s="1" t="s">
        <v>874</v>
      </c>
      <c r="B865" s="1" t="s">
        <v>1071</v>
      </c>
      <c r="C865" s="1" t="s">
        <v>5</v>
      </c>
      <c r="D865">
        <v>471335</v>
      </c>
      <c r="E865">
        <v>15646</v>
      </c>
      <c r="F865">
        <v>51847</v>
      </c>
      <c r="G865">
        <v>15</v>
      </c>
      <c r="H865" s="4">
        <v>96.9</v>
      </c>
      <c r="I865" s="2">
        <v>0.66666666666666696</v>
      </c>
      <c r="J865">
        <v>13</v>
      </c>
      <c r="K865">
        <v>1</v>
      </c>
      <c r="L865">
        <v>0</v>
      </c>
      <c r="M865" s="1" t="s">
        <v>1413</v>
      </c>
      <c r="N865" s="1" t="s">
        <v>1414</v>
      </c>
    </row>
    <row r="866" spans="1:14" x14ac:dyDescent="0.25">
      <c r="A866" s="1" t="s">
        <v>875</v>
      </c>
      <c r="B866" s="1" t="s">
        <v>1377</v>
      </c>
      <c r="C866" s="1" t="s">
        <v>3</v>
      </c>
      <c r="D866">
        <v>828359</v>
      </c>
      <c r="E866">
        <v>15712</v>
      </c>
      <c r="F866">
        <v>91119</v>
      </c>
      <c r="G866">
        <v>15</v>
      </c>
      <c r="H866" s="4">
        <v>110.69999999999999</v>
      </c>
      <c r="I866" s="2">
        <v>0.86666666666666703</v>
      </c>
      <c r="J866">
        <v>13</v>
      </c>
      <c r="K866">
        <v>1</v>
      </c>
      <c r="L866">
        <v>0</v>
      </c>
      <c r="M866" s="1" t="s">
        <v>1413</v>
      </c>
      <c r="N866" s="1" t="s">
        <v>1414</v>
      </c>
    </row>
    <row r="867" spans="1:14" x14ac:dyDescent="0.25">
      <c r="A867" s="1" t="s">
        <v>876</v>
      </c>
      <c r="B867" s="1" t="s">
        <v>1229</v>
      </c>
      <c r="C867" s="1" t="s">
        <v>5</v>
      </c>
      <c r="D867">
        <v>335063</v>
      </c>
      <c r="E867">
        <v>62223</v>
      </c>
      <c r="F867">
        <v>36857</v>
      </c>
      <c r="G867">
        <v>15</v>
      </c>
      <c r="H867" s="4">
        <v>105.7</v>
      </c>
      <c r="I867" s="2">
        <v>0.8</v>
      </c>
      <c r="J867">
        <v>0</v>
      </c>
      <c r="K867">
        <v>0</v>
      </c>
      <c r="L867">
        <v>0</v>
      </c>
      <c r="M867" s="1" t="s">
        <v>1413</v>
      </c>
      <c r="N867" s="1" t="s">
        <v>1414</v>
      </c>
    </row>
    <row r="868" spans="1:14" x14ac:dyDescent="0.25">
      <c r="A868" s="1" t="s">
        <v>877</v>
      </c>
      <c r="B868" s="1" t="s">
        <v>1295</v>
      </c>
      <c r="C868" s="1" t="s">
        <v>37</v>
      </c>
      <c r="D868">
        <v>766669</v>
      </c>
      <c r="E868">
        <v>44097</v>
      </c>
      <c r="F868">
        <v>84334</v>
      </c>
      <c r="G868">
        <v>15</v>
      </c>
      <c r="H868" s="4">
        <v>108.1</v>
      </c>
      <c r="I868" s="2">
        <v>0.8</v>
      </c>
      <c r="J868">
        <v>0</v>
      </c>
      <c r="K868">
        <v>0</v>
      </c>
      <c r="L868">
        <v>0</v>
      </c>
      <c r="M868" s="1" t="s">
        <v>1413</v>
      </c>
      <c r="N868" s="1" t="s">
        <v>1414</v>
      </c>
    </row>
    <row r="869" spans="1:14" x14ac:dyDescent="0.25">
      <c r="A869" s="1" t="s">
        <v>878</v>
      </c>
      <c r="B869" s="1" t="s">
        <v>1369</v>
      </c>
      <c r="C869" s="1" t="s">
        <v>7</v>
      </c>
      <c r="D869">
        <v>721109</v>
      </c>
      <c r="E869">
        <v>85734</v>
      </c>
      <c r="F869">
        <v>79322</v>
      </c>
      <c r="G869">
        <v>14</v>
      </c>
      <c r="H869" s="4">
        <v>92</v>
      </c>
      <c r="I869" s="2">
        <v>0.57142857142857095</v>
      </c>
      <c r="J869">
        <v>0</v>
      </c>
      <c r="K869">
        <v>0</v>
      </c>
      <c r="L869">
        <v>0</v>
      </c>
      <c r="M869" s="1" t="s">
        <v>1413</v>
      </c>
      <c r="N869" s="1" t="s">
        <v>1414</v>
      </c>
    </row>
    <row r="870" spans="1:14" x14ac:dyDescent="0.25">
      <c r="A870" s="1" t="s">
        <v>879</v>
      </c>
      <c r="B870" s="1" t="s">
        <v>1351</v>
      </c>
      <c r="C870" s="1" t="s">
        <v>1037</v>
      </c>
      <c r="D870">
        <v>590460</v>
      </c>
      <c r="E870">
        <v>86095</v>
      </c>
      <c r="F870">
        <v>64951</v>
      </c>
      <c r="G870">
        <v>14</v>
      </c>
      <c r="H870" s="4">
        <v>94.8</v>
      </c>
      <c r="I870" s="2">
        <v>0.64285714285714302</v>
      </c>
      <c r="J870">
        <v>10</v>
      </c>
      <c r="K870">
        <v>1</v>
      </c>
      <c r="L870">
        <v>0</v>
      </c>
      <c r="M870" s="1" t="s">
        <v>1413</v>
      </c>
      <c r="N870" s="1" t="s">
        <v>1414</v>
      </c>
    </row>
    <row r="871" spans="1:14" x14ac:dyDescent="0.25">
      <c r="A871" s="1" t="s">
        <v>880</v>
      </c>
      <c r="B871" s="1" t="s">
        <v>1271</v>
      </c>
      <c r="C871" s="1" t="s">
        <v>7</v>
      </c>
      <c r="D871">
        <v>513632</v>
      </c>
      <c r="E871">
        <v>19982</v>
      </c>
      <c r="F871">
        <v>56500</v>
      </c>
      <c r="G871">
        <v>14</v>
      </c>
      <c r="H871" s="4">
        <v>105.99999999999997</v>
      </c>
      <c r="I871" s="2">
        <v>0.85714285714285698</v>
      </c>
      <c r="J871">
        <v>0</v>
      </c>
      <c r="K871">
        <v>0</v>
      </c>
      <c r="L871">
        <v>0</v>
      </c>
      <c r="M871" s="1" t="s">
        <v>1413</v>
      </c>
      <c r="N871" s="1" t="s">
        <v>1414</v>
      </c>
    </row>
    <row r="872" spans="1:14" x14ac:dyDescent="0.25">
      <c r="A872" s="1" t="s">
        <v>881</v>
      </c>
      <c r="B872" s="1" t="s">
        <v>1241</v>
      </c>
      <c r="C872" s="1" t="s">
        <v>37</v>
      </c>
      <c r="D872">
        <v>461140</v>
      </c>
      <c r="E872">
        <v>205</v>
      </c>
      <c r="F872">
        <v>50725</v>
      </c>
      <c r="G872">
        <v>15</v>
      </c>
      <c r="H872" s="4">
        <v>113.60000000000001</v>
      </c>
      <c r="I872" s="2">
        <v>0.93333333333333302</v>
      </c>
      <c r="J872">
        <v>10</v>
      </c>
      <c r="K872">
        <v>1</v>
      </c>
      <c r="L872">
        <v>0</v>
      </c>
      <c r="M872" s="1" t="s">
        <v>1413</v>
      </c>
      <c r="N872" s="1" t="s">
        <v>1414</v>
      </c>
    </row>
    <row r="873" spans="1:14" x14ac:dyDescent="0.25">
      <c r="A873" s="1" t="s">
        <v>882</v>
      </c>
      <c r="B873" s="1" t="s">
        <v>1060</v>
      </c>
      <c r="C873" s="1" t="s">
        <v>1037</v>
      </c>
      <c r="D873">
        <v>354711</v>
      </c>
      <c r="E873">
        <v>65514</v>
      </c>
      <c r="F873">
        <v>39018</v>
      </c>
      <c r="G873">
        <v>15</v>
      </c>
      <c r="H873" s="4">
        <v>107.30000000000001</v>
      </c>
      <c r="I873" s="2">
        <v>0.86666666666666703</v>
      </c>
      <c r="J873">
        <v>0</v>
      </c>
      <c r="K873">
        <v>0</v>
      </c>
      <c r="L873">
        <v>0</v>
      </c>
      <c r="M873" s="1" t="s">
        <v>1413</v>
      </c>
      <c r="N873" s="1" t="s">
        <v>1414</v>
      </c>
    </row>
    <row r="874" spans="1:14" x14ac:dyDescent="0.25">
      <c r="A874" s="1" t="s">
        <v>883</v>
      </c>
      <c r="B874" s="1" t="s">
        <v>1087</v>
      </c>
      <c r="C874" s="1" t="s">
        <v>5</v>
      </c>
      <c r="D874">
        <v>393982</v>
      </c>
      <c r="E874">
        <v>62613</v>
      </c>
      <c r="F874">
        <v>43338</v>
      </c>
      <c r="G874">
        <v>15</v>
      </c>
      <c r="H874" s="4">
        <v>87.8</v>
      </c>
      <c r="I874" s="2">
        <v>0.6</v>
      </c>
      <c r="J874">
        <v>0</v>
      </c>
      <c r="K874">
        <v>0</v>
      </c>
      <c r="L874">
        <v>0</v>
      </c>
      <c r="M874" s="1" t="s">
        <v>1413</v>
      </c>
      <c r="N874" s="1" t="s">
        <v>1414</v>
      </c>
    </row>
    <row r="875" spans="1:14" x14ac:dyDescent="0.25">
      <c r="A875" s="1" t="s">
        <v>884</v>
      </c>
      <c r="B875" s="1" t="s">
        <v>1040</v>
      </c>
      <c r="C875" s="1" t="s">
        <v>7</v>
      </c>
      <c r="D875">
        <v>402969</v>
      </c>
      <c r="E875">
        <v>39316</v>
      </c>
      <c r="F875">
        <v>44327</v>
      </c>
      <c r="G875">
        <v>15</v>
      </c>
      <c r="H875" s="4">
        <v>104.5</v>
      </c>
      <c r="I875" s="2">
        <v>0.8</v>
      </c>
      <c r="J875">
        <v>6</v>
      </c>
      <c r="K875">
        <v>1</v>
      </c>
      <c r="L875">
        <v>0</v>
      </c>
      <c r="M875" s="1" t="s">
        <v>1413</v>
      </c>
      <c r="N875" s="1" t="s">
        <v>1414</v>
      </c>
    </row>
    <row r="876" spans="1:14" x14ac:dyDescent="0.25">
      <c r="A876" s="1" t="s">
        <v>885</v>
      </c>
      <c r="B876" s="1" t="s">
        <v>1361</v>
      </c>
      <c r="C876" s="1" t="s">
        <v>1037</v>
      </c>
      <c r="D876">
        <v>417991</v>
      </c>
      <c r="E876">
        <v>13883</v>
      </c>
      <c r="F876">
        <v>45979</v>
      </c>
      <c r="G876">
        <v>15</v>
      </c>
      <c r="H876" s="4">
        <v>84.4</v>
      </c>
      <c r="I876" s="2">
        <v>0.6</v>
      </c>
      <c r="J876">
        <v>4</v>
      </c>
      <c r="K876">
        <v>1</v>
      </c>
      <c r="L876">
        <v>0</v>
      </c>
      <c r="M876" s="1" t="s">
        <v>1413</v>
      </c>
      <c r="N876" s="1" t="s">
        <v>1414</v>
      </c>
    </row>
    <row r="877" spans="1:14" x14ac:dyDescent="0.25">
      <c r="A877" s="1" t="s">
        <v>886</v>
      </c>
      <c r="B877" s="1" t="s">
        <v>1211</v>
      </c>
      <c r="C877" s="1" t="s">
        <v>5</v>
      </c>
      <c r="D877">
        <v>512623</v>
      </c>
      <c r="E877">
        <v>38311</v>
      </c>
      <c r="F877">
        <v>56389</v>
      </c>
      <c r="G877">
        <v>15</v>
      </c>
      <c r="H877" s="4">
        <v>97.800000000000011</v>
      </c>
      <c r="I877" s="2">
        <v>0.73333333333333295</v>
      </c>
      <c r="J877">
        <v>0</v>
      </c>
      <c r="K877">
        <v>0</v>
      </c>
      <c r="L877">
        <v>0</v>
      </c>
      <c r="M877" s="1" t="s">
        <v>1413</v>
      </c>
      <c r="N877" s="1" t="s">
        <v>1414</v>
      </c>
    </row>
    <row r="878" spans="1:14" x14ac:dyDescent="0.25">
      <c r="A878" s="1" t="s">
        <v>887</v>
      </c>
      <c r="B878" s="1" t="s">
        <v>1262</v>
      </c>
      <c r="C878" s="1" t="s">
        <v>27</v>
      </c>
      <c r="D878">
        <v>521724</v>
      </c>
      <c r="E878">
        <v>27057</v>
      </c>
      <c r="F878">
        <v>57390</v>
      </c>
      <c r="G878">
        <v>15</v>
      </c>
      <c r="H878" s="4">
        <v>103.5</v>
      </c>
      <c r="I878" s="2">
        <v>0.73333333333333295</v>
      </c>
      <c r="J878">
        <v>0</v>
      </c>
      <c r="K878">
        <v>0</v>
      </c>
      <c r="L878">
        <v>0</v>
      </c>
      <c r="M878" s="1" t="s">
        <v>1413</v>
      </c>
      <c r="N878" s="1" t="s">
        <v>1414</v>
      </c>
    </row>
    <row r="879" spans="1:14" x14ac:dyDescent="0.25">
      <c r="A879" s="1" t="s">
        <v>888</v>
      </c>
      <c r="B879" s="1" t="s">
        <v>1283</v>
      </c>
      <c r="C879" s="1" t="s">
        <v>3</v>
      </c>
      <c r="D879">
        <v>776001</v>
      </c>
      <c r="E879">
        <v>46672</v>
      </c>
      <c r="F879">
        <v>85360</v>
      </c>
      <c r="G879">
        <v>15</v>
      </c>
      <c r="H879" s="4">
        <v>102.20000000000002</v>
      </c>
      <c r="I879" s="2">
        <v>0.73333333333333295</v>
      </c>
      <c r="J879">
        <v>11</v>
      </c>
      <c r="K879">
        <v>1</v>
      </c>
      <c r="L879">
        <v>0</v>
      </c>
      <c r="M879" s="1" t="s">
        <v>1413</v>
      </c>
      <c r="N879" s="1" t="s">
        <v>1414</v>
      </c>
    </row>
    <row r="880" spans="1:14" x14ac:dyDescent="0.25">
      <c r="A880" s="1" t="s">
        <v>889</v>
      </c>
      <c r="B880" s="1" t="s">
        <v>1149</v>
      </c>
      <c r="C880" s="1" t="s">
        <v>9</v>
      </c>
      <c r="D880">
        <v>819659</v>
      </c>
      <c r="E880">
        <v>15947</v>
      </c>
      <c r="F880">
        <v>90162</v>
      </c>
      <c r="G880">
        <v>14</v>
      </c>
      <c r="H880" s="4">
        <v>104.99999999999999</v>
      </c>
      <c r="I880" s="2">
        <v>0.85714285714285698</v>
      </c>
      <c r="J880">
        <v>7</v>
      </c>
      <c r="K880">
        <v>1</v>
      </c>
      <c r="L880">
        <v>0</v>
      </c>
      <c r="M880" s="1" t="s">
        <v>1413</v>
      </c>
      <c r="N880" s="1" t="s">
        <v>1414</v>
      </c>
    </row>
    <row r="881" spans="1:14" x14ac:dyDescent="0.25">
      <c r="A881" s="1" t="s">
        <v>890</v>
      </c>
      <c r="B881" s="1" t="s">
        <v>1199</v>
      </c>
      <c r="C881" s="1" t="s">
        <v>3</v>
      </c>
      <c r="D881">
        <v>328841</v>
      </c>
      <c r="E881">
        <v>52391</v>
      </c>
      <c r="F881">
        <v>36173</v>
      </c>
      <c r="G881">
        <v>15</v>
      </c>
      <c r="H881" s="4">
        <v>118.70000000000002</v>
      </c>
      <c r="I881" s="2">
        <v>0.66666666666666696</v>
      </c>
      <c r="J881">
        <v>0</v>
      </c>
      <c r="K881">
        <v>0</v>
      </c>
      <c r="L881">
        <v>0</v>
      </c>
      <c r="M881" s="1" t="s">
        <v>1413</v>
      </c>
      <c r="N881" s="1" t="s">
        <v>1414</v>
      </c>
    </row>
    <row r="882" spans="1:14" x14ac:dyDescent="0.25">
      <c r="A882" s="1" t="s">
        <v>891</v>
      </c>
      <c r="B882" s="1" t="s">
        <v>1297</v>
      </c>
      <c r="C882" s="1" t="s">
        <v>27</v>
      </c>
      <c r="D882">
        <v>367626</v>
      </c>
      <c r="E882">
        <v>6275</v>
      </c>
      <c r="F882">
        <v>40439</v>
      </c>
      <c r="G882">
        <v>15</v>
      </c>
      <c r="H882" s="4">
        <v>122.10000000000001</v>
      </c>
      <c r="I882" s="2">
        <v>0.86666666666666703</v>
      </c>
      <c r="J882">
        <v>9</v>
      </c>
      <c r="K882">
        <v>1</v>
      </c>
      <c r="L882">
        <v>0</v>
      </c>
      <c r="M882" s="1" t="s">
        <v>1413</v>
      </c>
      <c r="N882" s="1" t="s">
        <v>1414</v>
      </c>
    </row>
    <row r="883" spans="1:14" x14ac:dyDescent="0.25">
      <c r="A883" s="1" t="s">
        <v>892</v>
      </c>
      <c r="B883" s="1" t="s">
        <v>1311</v>
      </c>
      <c r="C883" s="1" t="s">
        <v>12</v>
      </c>
      <c r="D883">
        <v>647558</v>
      </c>
      <c r="E883">
        <v>54616</v>
      </c>
      <c r="F883">
        <v>71231</v>
      </c>
      <c r="G883">
        <v>15</v>
      </c>
      <c r="H883" s="4">
        <v>96.4</v>
      </c>
      <c r="I883" s="2">
        <v>0.66666666666666696</v>
      </c>
      <c r="J883">
        <v>0</v>
      </c>
      <c r="K883">
        <v>0</v>
      </c>
      <c r="L883">
        <v>0</v>
      </c>
      <c r="M883" s="1" t="s">
        <v>1413</v>
      </c>
      <c r="N883" s="1" t="s">
        <v>1414</v>
      </c>
    </row>
    <row r="884" spans="1:14" x14ac:dyDescent="0.25">
      <c r="A884" s="1" t="s">
        <v>893</v>
      </c>
      <c r="B884" s="1" t="s">
        <v>1161</v>
      </c>
      <c r="C884" s="1" t="s">
        <v>9</v>
      </c>
      <c r="D884">
        <v>275012</v>
      </c>
      <c r="E884">
        <v>10672</v>
      </c>
      <c r="F884">
        <v>30251</v>
      </c>
      <c r="G884">
        <v>14</v>
      </c>
      <c r="H884" s="4">
        <v>104.10000000000001</v>
      </c>
      <c r="I884" s="2">
        <v>0.78571428571428603</v>
      </c>
      <c r="J884">
        <v>12</v>
      </c>
      <c r="K884">
        <v>1</v>
      </c>
      <c r="L884">
        <v>0</v>
      </c>
      <c r="M884" s="1" t="s">
        <v>1413</v>
      </c>
      <c r="N884" s="1" t="s">
        <v>1414</v>
      </c>
    </row>
    <row r="885" spans="1:14" x14ac:dyDescent="0.25">
      <c r="A885" s="1" t="s">
        <v>894</v>
      </c>
      <c r="B885" s="1" t="s">
        <v>1174</v>
      </c>
      <c r="C885" s="1" t="s">
        <v>37</v>
      </c>
      <c r="D885">
        <v>525404</v>
      </c>
      <c r="E885">
        <v>67026</v>
      </c>
      <c r="F885">
        <v>57794</v>
      </c>
      <c r="G885">
        <v>15</v>
      </c>
      <c r="H885" s="4">
        <v>96.2</v>
      </c>
      <c r="I885" s="2">
        <v>0.6</v>
      </c>
      <c r="J885">
        <v>3</v>
      </c>
      <c r="K885">
        <v>1</v>
      </c>
      <c r="L885">
        <v>0</v>
      </c>
      <c r="M885" s="1" t="s">
        <v>1413</v>
      </c>
      <c r="N885" s="1" t="s">
        <v>1414</v>
      </c>
    </row>
    <row r="886" spans="1:14" x14ac:dyDescent="0.25">
      <c r="A886" s="1" t="s">
        <v>895</v>
      </c>
      <c r="B886" s="1" t="s">
        <v>1243</v>
      </c>
      <c r="C886" s="1" t="s">
        <v>23</v>
      </c>
      <c r="D886">
        <v>274807</v>
      </c>
      <c r="E886">
        <v>81398</v>
      </c>
      <c r="F886">
        <v>30229</v>
      </c>
      <c r="G886">
        <v>15</v>
      </c>
      <c r="H886" s="4">
        <v>80.900000000000006</v>
      </c>
      <c r="I886" s="2">
        <v>0.66666666666666696</v>
      </c>
      <c r="J886">
        <v>0</v>
      </c>
      <c r="K886">
        <v>0</v>
      </c>
      <c r="L886">
        <v>0</v>
      </c>
      <c r="M886" s="1" t="s">
        <v>1413</v>
      </c>
      <c r="N886" s="1" t="s">
        <v>1414</v>
      </c>
    </row>
    <row r="887" spans="1:14" x14ac:dyDescent="0.25">
      <c r="A887" s="1" t="s">
        <v>896</v>
      </c>
      <c r="B887" s="1" t="s">
        <v>1119</v>
      </c>
      <c r="C887" s="1" t="s">
        <v>7</v>
      </c>
      <c r="D887">
        <v>273231</v>
      </c>
      <c r="E887">
        <v>43000</v>
      </c>
      <c r="F887">
        <v>30055</v>
      </c>
      <c r="G887">
        <v>15</v>
      </c>
      <c r="H887" s="4">
        <v>105.10000000000001</v>
      </c>
      <c r="I887" s="2">
        <v>0.8</v>
      </c>
      <c r="J887">
        <v>0</v>
      </c>
      <c r="K887">
        <v>0</v>
      </c>
      <c r="L887">
        <v>0</v>
      </c>
      <c r="M887" s="1" t="s">
        <v>1413</v>
      </c>
      <c r="N887" s="1" t="s">
        <v>1414</v>
      </c>
    </row>
    <row r="888" spans="1:14" x14ac:dyDescent="0.25">
      <c r="A888" s="1" t="s">
        <v>897</v>
      </c>
      <c r="B888" s="1" t="s">
        <v>1078</v>
      </c>
      <c r="C888" s="1" t="s">
        <v>12</v>
      </c>
      <c r="D888">
        <v>838540</v>
      </c>
      <c r="E888">
        <v>26260</v>
      </c>
      <c r="F888">
        <v>92239</v>
      </c>
      <c r="G888">
        <v>15</v>
      </c>
      <c r="H888" s="4">
        <v>107.6</v>
      </c>
      <c r="I888" s="2">
        <v>0.73333333333333295</v>
      </c>
      <c r="J888">
        <v>0</v>
      </c>
      <c r="K888">
        <v>0</v>
      </c>
      <c r="L888">
        <v>0</v>
      </c>
      <c r="M888" s="1" t="s">
        <v>1413</v>
      </c>
      <c r="N888" s="1" t="s">
        <v>1414</v>
      </c>
    </row>
    <row r="889" spans="1:14" x14ac:dyDescent="0.25">
      <c r="A889" s="1" t="s">
        <v>898</v>
      </c>
      <c r="B889" s="1" t="s">
        <v>1043</v>
      </c>
      <c r="C889" s="1" t="s">
        <v>27</v>
      </c>
      <c r="D889">
        <v>811543</v>
      </c>
      <c r="E889">
        <v>53420</v>
      </c>
      <c r="F889">
        <v>89270</v>
      </c>
      <c r="G889">
        <v>15</v>
      </c>
      <c r="H889" s="4">
        <v>77.599999999999994</v>
      </c>
      <c r="I889" s="2">
        <v>0.66666666666666696</v>
      </c>
      <c r="J889">
        <v>0</v>
      </c>
      <c r="K889">
        <v>0</v>
      </c>
      <c r="L889">
        <v>0</v>
      </c>
      <c r="M889" s="1" t="s">
        <v>1413</v>
      </c>
      <c r="N889" s="1" t="s">
        <v>1414</v>
      </c>
    </row>
    <row r="890" spans="1:14" x14ac:dyDescent="0.25">
      <c r="A890" s="1" t="s">
        <v>899</v>
      </c>
      <c r="B890" s="1" t="s">
        <v>1038</v>
      </c>
      <c r="C890" s="1" t="s">
        <v>5</v>
      </c>
      <c r="D890">
        <v>741066</v>
      </c>
      <c r="E890">
        <v>55546</v>
      </c>
      <c r="F890">
        <v>81517</v>
      </c>
      <c r="G890">
        <v>15</v>
      </c>
      <c r="H890" s="4">
        <v>120.5</v>
      </c>
      <c r="I890" s="2">
        <v>0.6</v>
      </c>
      <c r="J890">
        <v>0</v>
      </c>
      <c r="K890">
        <v>0</v>
      </c>
      <c r="L890">
        <v>0</v>
      </c>
      <c r="M890" s="1" t="s">
        <v>1413</v>
      </c>
      <c r="N890" s="1" t="s">
        <v>1414</v>
      </c>
    </row>
    <row r="891" spans="1:14" x14ac:dyDescent="0.25">
      <c r="A891" s="1" t="s">
        <v>900</v>
      </c>
      <c r="B891" s="1" t="s">
        <v>1327</v>
      </c>
      <c r="C891" s="1" t="s">
        <v>7</v>
      </c>
      <c r="D891">
        <v>522465</v>
      </c>
      <c r="E891">
        <v>35098</v>
      </c>
      <c r="F891">
        <v>57471</v>
      </c>
      <c r="G891">
        <v>15</v>
      </c>
      <c r="H891" s="4">
        <v>108.9</v>
      </c>
      <c r="I891" s="2">
        <v>0.8</v>
      </c>
      <c r="J891">
        <v>0</v>
      </c>
      <c r="K891">
        <v>0</v>
      </c>
      <c r="L891">
        <v>0</v>
      </c>
      <c r="M891" s="1" t="s">
        <v>1413</v>
      </c>
      <c r="N891" s="1" t="s">
        <v>1414</v>
      </c>
    </row>
    <row r="892" spans="1:14" x14ac:dyDescent="0.25">
      <c r="A892" s="1" t="s">
        <v>901</v>
      </c>
      <c r="B892" s="1" t="s">
        <v>1285</v>
      </c>
      <c r="C892" s="1" t="s">
        <v>52</v>
      </c>
      <c r="D892">
        <v>238924</v>
      </c>
      <c r="E892">
        <v>4971</v>
      </c>
      <c r="F892">
        <v>26282</v>
      </c>
      <c r="G892">
        <v>15</v>
      </c>
      <c r="H892" s="4">
        <v>96.500000000000014</v>
      </c>
      <c r="I892" s="2">
        <v>0.66666666666666696</v>
      </c>
      <c r="J892">
        <v>0</v>
      </c>
      <c r="K892">
        <v>0</v>
      </c>
      <c r="L892">
        <v>0</v>
      </c>
      <c r="M892" s="1" t="s">
        <v>1413</v>
      </c>
      <c r="N892" s="1" t="s">
        <v>1414</v>
      </c>
    </row>
    <row r="893" spans="1:14" x14ac:dyDescent="0.25">
      <c r="A893" s="1" t="s">
        <v>902</v>
      </c>
      <c r="B893" s="1" t="s">
        <v>1285</v>
      </c>
      <c r="C893" s="1" t="s">
        <v>52</v>
      </c>
      <c r="D893">
        <v>687806</v>
      </c>
      <c r="E893">
        <v>57563</v>
      </c>
      <c r="F893">
        <v>75659</v>
      </c>
      <c r="G893">
        <v>15</v>
      </c>
      <c r="H893" s="4">
        <v>117.80000000000003</v>
      </c>
      <c r="I893" s="2">
        <v>0.93333333333333302</v>
      </c>
      <c r="J893">
        <v>15</v>
      </c>
      <c r="K893">
        <v>3</v>
      </c>
      <c r="L893">
        <v>0</v>
      </c>
      <c r="M893" s="1" t="s">
        <v>1413</v>
      </c>
      <c r="N893" s="1" t="s">
        <v>1414</v>
      </c>
    </row>
    <row r="894" spans="1:14" x14ac:dyDescent="0.25">
      <c r="A894" s="1" t="s">
        <v>903</v>
      </c>
      <c r="B894" s="1" t="s">
        <v>1332</v>
      </c>
      <c r="C894" s="1" t="s">
        <v>27</v>
      </c>
      <c r="D894">
        <v>732692</v>
      </c>
      <c r="E894">
        <v>85642</v>
      </c>
      <c r="F894">
        <v>80596</v>
      </c>
      <c r="G894">
        <v>15</v>
      </c>
      <c r="H894" s="4">
        <v>110.1</v>
      </c>
      <c r="I894" s="2">
        <v>0.8</v>
      </c>
      <c r="J894">
        <v>2</v>
      </c>
      <c r="K894">
        <v>1</v>
      </c>
      <c r="L894">
        <v>0</v>
      </c>
      <c r="M894" s="1" t="s">
        <v>1413</v>
      </c>
      <c r="N894" s="1" t="s">
        <v>1414</v>
      </c>
    </row>
    <row r="895" spans="1:14" x14ac:dyDescent="0.25">
      <c r="A895" s="1" t="s">
        <v>904</v>
      </c>
      <c r="B895" s="1" t="s">
        <v>1397</v>
      </c>
      <c r="C895" s="1" t="s">
        <v>5</v>
      </c>
      <c r="D895">
        <v>655856</v>
      </c>
      <c r="E895">
        <v>51084</v>
      </c>
      <c r="F895">
        <v>72144</v>
      </c>
      <c r="G895">
        <v>15</v>
      </c>
      <c r="H895" s="4">
        <v>101.39999999999999</v>
      </c>
      <c r="I895" s="2">
        <v>0.73333333333333295</v>
      </c>
      <c r="J895">
        <v>24</v>
      </c>
      <c r="K895">
        <v>3</v>
      </c>
      <c r="L895">
        <v>0</v>
      </c>
      <c r="M895" s="1" t="s">
        <v>1413</v>
      </c>
      <c r="N895" s="1" t="s">
        <v>1414</v>
      </c>
    </row>
    <row r="896" spans="1:14" x14ac:dyDescent="0.25">
      <c r="A896" s="1" t="s">
        <v>905</v>
      </c>
      <c r="B896" s="1" t="s">
        <v>1075</v>
      </c>
      <c r="C896" s="1" t="s">
        <v>23</v>
      </c>
      <c r="D896">
        <v>330423</v>
      </c>
      <c r="E896">
        <v>81924</v>
      </c>
      <c r="F896">
        <v>36347</v>
      </c>
      <c r="G896">
        <v>15</v>
      </c>
      <c r="H896" s="4">
        <v>99.3</v>
      </c>
      <c r="I896" s="2">
        <v>0.8</v>
      </c>
      <c r="J896">
        <v>0</v>
      </c>
      <c r="K896">
        <v>0</v>
      </c>
      <c r="L896">
        <v>0</v>
      </c>
      <c r="M896" s="1" t="s">
        <v>1413</v>
      </c>
      <c r="N896" s="1" t="s">
        <v>1414</v>
      </c>
    </row>
    <row r="897" spans="1:14" x14ac:dyDescent="0.25">
      <c r="A897" s="1" t="s">
        <v>906</v>
      </c>
      <c r="B897" s="1" t="s">
        <v>1135</v>
      </c>
      <c r="C897" s="1" t="s">
        <v>27</v>
      </c>
      <c r="D897">
        <v>544276</v>
      </c>
      <c r="E897">
        <v>33665</v>
      </c>
      <c r="F897">
        <v>59870</v>
      </c>
      <c r="G897">
        <v>15</v>
      </c>
      <c r="H897" s="4">
        <v>100</v>
      </c>
      <c r="I897" s="2">
        <v>0.66666666666666696</v>
      </c>
      <c r="J897">
        <v>0</v>
      </c>
      <c r="K897">
        <v>0</v>
      </c>
      <c r="L897">
        <v>0</v>
      </c>
      <c r="M897" s="1" t="s">
        <v>1413</v>
      </c>
      <c r="N897" s="1" t="s">
        <v>1414</v>
      </c>
    </row>
    <row r="898" spans="1:14" x14ac:dyDescent="0.25">
      <c r="A898" s="1" t="s">
        <v>907</v>
      </c>
      <c r="B898" s="1" t="s">
        <v>1129</v>
      </c>
      <c r="C898" s="1" t="s">
        <v>37</v>
      </c>
      <c r="D898">
        <v>230496</v>
      </c>
      <c r="E898">
        <v>4698</v>
      </c>
      <c r="F898">
        <v>25355</v>
      </c>
      <c r="G898">
        <v>15</v>
      </c>
      <c r="H898" s="4">
        <v>120.4</v>
      </c>
      <c r="I898" s="2">
        <v>0.8</v>
      </c>
      <c r="J898">
        <v>7</v>
      </c>
      <c r="K898">
        <v>1</v>
      </c>
      <c r="L898">
        <v>0</v>
      </c>
      <c r="M898" s="1" t="s">
        <v>1413</v>
      </c>
      <c r="N898" s="1" t="s">
        <v>1414</v>
      </c>
    </row>
    <row r="899" spans="1:14" x14ac:dyDescent="0.25">
      <c r="A899" s="1" t="s">
        <v>908</v>
      </c>
      <c r="B899" s="1" t="s">
        <v>1228</v>
      </c>
      <c r="C899" s="1" t="s">
        <v>52</v>
      </c>
      <c r="D899">
        <v>600898</v>
      </c>
      <c r="E899">
        <v>57383</v>
      </c>
      <c r="F899">
        <v>66099</v>
      </c>
      <c r="G899">
        <v>15</v>
      </c>
      <c r="H899" s="4">
        <v>106.5</v>
      </c>
      <c r="I899" s="2">
        <v>0.73333333333333295</v>
      </c>
      <c r="J899">
        <v>0</v>
      </c>
      <c r="K899">
        <v>0</v>
      </c>
      <c r="L899">
        <v>0</v>
      </c>
      <c r="M899" s="1" t="s">
        <v>1413</v>
      </c>
      <c r="N899" s="1" t="s">
        <v>1414</v>
      </c>
    </row>
    <row r="900" spans="1:14" x14ac:dyDescent="0.25">
      <c r="A900" s="1" t="s">
        <v>909</v>
      </c>
      <c r="B900" s="1" t="s">
        <v>1153</v>
      </c>
      <c r="C900" s="1" t="s">
        <v>23</v>
      </c>
      <c r="D900">
        <v>678552</v>
      </c>
      <c r="E900">
        <v>71177</v>
      </c>
      <c r="F900">
        <v>74641</v>
      </c>
      <c r="G900">
        <v>15</v>
      </c>
      <c r="H900" s="4">
        <v>94.700000000000017</v>
      </c>
      <c r="I900" s="2">
        <v>0.73333333333333295</v>
      </c>
      <c r="J900">
        <v>0</v>
      </c>
      <c r="K900">
        <v>0</v>
      </c>
      <c r="L900">
        <v>0</v>
      </c>
      <c r="M900" s="1" t="s">
        <v>1413</v>
      </c>
      <c r="N900" s="1" t="s">
        <v>1414</v>
      </c>
    </row>
    <row r="901" spans="1:14" x14ac:dyDescent="0.25">
      <c r="A901" s="1" t="s">
        <v>910</v>
      </c>
      <c r="B901" s="1" t="s">
        <v>1385</v>
      </c>
      <c r="C901" s="1" t="s">
        <v>12</v>
      </c>
      <c r="D901">
        <v>360747</v>
      </c>
      <c r="E901">
        <v>83427</v>
      </c>
      <c r="F901">
        <v>39682</v>
      </c>
      <c r="G901">
        <v>15</v>
      </c>
      <c r="H901" s="4">
        <v>110</v>
      </c>
      <c r="I901" s="2">
        <v>0.86666666666666703</v>
      </c>
      <c r="J901">
        <v>0</v>
      </c>
      <c r="K901">
        <v>0</v>
      </c>
      <c r="L901">
        <v>0</v>
      </c>
      <c r="M901" s="1" t="s">
        <v>1413</v>
      </c>
      <c r="N901" s="1" t="s">
        <v>1414</v>
      </c>
    </row>
    <row r="902" spans="1:14" x14ac:dyDescent="0.25">
      <c r="A902" s="1" t="s">
        <v>911</v>
      </c>
      <c r="B902" s="1" t="s">
        <v>1185</v>
      </c>
      <c r="C902" s="1" t="s">
        <v>27</v>
      </c>
      <c r="D902">
        <v>543262</v>
      </c>
      <c r="E902">
        <v>70310</v>
      </c>
      <c r="G902">
        <v>14</v>
      </c>
      <c r="H902" s="4">
        <v>94.90000000000002</v>
      </c>
      <c r="I902" s="2">
        <v>0.5</v>
      </c>
      <c r="J902">
        <v>0</v>
      </c>
      <c r="K902">
        <v>0</v>
      </c>
      <c r="L902">
        <v>0</v>
      </c>
      <c r="M902" s="1" t="s">
        <v>1413</v>
      </c>
      <c r="N902" s="1" t="s">
        <v>1414</v>
      </c>
    </row>
    <row r="903" spans="1:14" x14ac:dyDescent="0.25">
      <c r="A903" s="1" t="s">
        <v>912</v>
      </c>
      <c r="B903" s="1" t="s">
        <v>1285</v>
      </c>
      <c r="C903" s="1" t="s">
        <v>3</v>
      </c>
      <c r="D903">
        <v>582225</v>
      </c>
      <c r="E903">
        <v>69776</v>
      </c>
      <c r="F903">
        <v>64045</v>
      </c>
      <c r="G903">
        <v>15</v>
      </c>
      <c r="H903" s="4">
        <v>101.9</v>
      </c>
      <c r="I903" s="2">
        <v>0.8</v>
      </c>
      <c r="J903">
        <v>0</v>
      </c>
      <c r="K903">
        <v>0</v>
      </c>
      <c r="L903">
        <v>0</v>
      </c>
      <c r="M903" s="1" t="s">
        <v>1413</v>
      </c>
      <c r="N903" s="1" t="s">
        <v>1414</v>
      </c>
    </row>
    <row r="904" spans="1:14" x14ac:dyDescent="0.25">
      <c r="A904" s="1" t="s">
        <v>913</v>
      </c>
      <c r="B904" s="1" t="s">
        <v>1196</v>
      </c>
      <c r="C904" s="1" t="s">
        <v>3</v>
      </c>
      <c r="D904">
        <v>491832</v>
      </c>
      <c r="E904">
        <v>56113</v>
      </c>
      <c r="F904">
        <v>54102</v>
      </c>
      <c r="G904">
        <v>15</v>
      </c>
      <c r="H904" s="4">
        <v>111.39999999999999</v>
      </c>
      <c r="I904" s="2">
        <v>0.73333333333333295</v>
      </c>
      <c r="J904">
        <v>0</v>
      </c>
      <c r="K904">
        <v>0</v>
      </c>
      <c r="L904">
        <v>0</v>
      </c>
      <c r="M904" s="1" t="s">
        <v>1413</v>
      </c>
      <c r="N904" s="1" t="s">
        <v>1414</v>
      </c>
    </row>
    <row r="905" spans="1:14" x14ac:dyDescent="0.25">
      <c r="A905" s="1" t="s">
        <v>914</v>
      </c>
      <c r="B905" s="1" t="s">
        <v>1359</v>
      </c>
      <c r="C905" s="1" t="s">
        <v>52</v>
      </c>
      <c r="D905">
        <v>786893</v>
      </c>
      <c r="E905">
        <v>64999</v>
      </c>
      <c r="F905">
        <v>86558</v>
      </c>
      <c r="G905">
        <v>15</v>
      </c>
      <c r="H905" s="4">
        <v>89.199999999999989</v>
      </c>
      <c r="I905" s="2">
        <v>0.66666666666666696</v>
      </c>
      <c r="J905">
        <v>0</v>
      </c>
      <c r="K905">
        <v>0</v>
      </c>
      <c r="L905">
        <v>0</v>
      </c>
      <c r="M905" s="1" t="s">
        <v>1413</v>
      </c>
      <c r="N905" s="1" t="s">
        <v>1414</v>
      </c>
    </row>
    <row r="906" spans="1:14" x14ac:dyDescent="0.25">
      <c r="A906" s="1" t="s">
        <v>915</v>
      </c>
      <c r="B906" s="1" t="s">
        <v>1281</v>
      </c>
      <c r="C906" s="1" t="s">
        <v>1117</v>
      </c>
      <c r="D906">
        <v>481195</v>
      </c>
      <c r="E906">
        <v>15803</v>
      </c>
      <c r="F906">
        <v>52931</v>
      </c>
      <c r="G906">
        <v>15</v>
      </c>
      <c r="H906" s="4">
        <v>120.3</v>
      </c>
      <c r="I906" s="2">
        <v>0.8</v>
      </c>
      <c r="J906">
        <v>0</v>
      </c>
      <c r="K906">
        <v>0</v>
      </c>
      <c r="L906">
        <v>0</v>
      </c>
      <c r="M906" s="1" t="s">
        <v>1413</v>
      </c>
      <c r="N906" s="1" t="s">
        <v>1414</v>
      </c>
    </row>
    <row r="907" spans="1:14" x14ac:dyDescent="0.25">
      <c r="A907" s="1" t="s">
        <v>916</v>
      </c>
      <c r="B907" s="1" t="s">
        <v>1173</v>
      </c>
      <c r="C907" s="1" t="s">
        <v>23</v>
      </c>
      <c r="D907">
        <v>572142</v>
      </c>
      <c r="E907">
        <v>22545</v>
      </c>
      <c r="F907">
        <v>62936</v>
      </c>
      <c r="G907">
        <v>15</v>
      </c>
      <c r="H907" s="4">
        <v>109.2</v>
      </c>
      <c r="I907" s="2">
        <v>0.73333333333333295</v>
      </c>
      <c r="J907">
        <v>0</v>
      </c>
      <c r="K907">
        <v>0</v>
      </c>
      <c r="L907">
        <v>0</v>
      </c>
      <c r="M907" s="1" t="s">
        <v>1413</v>
      </c>
      <c r="N907" s="1" t="s">
        <v>1414</v>
      </c>
    </row>
    <row r="908" spans="1:14" x14ac:dyDescent="0.25">
      <c r="A908" s="1" t="s">
        <v>917</v>
      </c>
      <c r="B908" s="1" t="s">
        <v>1282</v>
      </c>
      <c r="C908" s="1" t="s">
        <v>37</v>
      </c>
      <c r="D908">
        <v>368015</v>
      </c>
      <c r="E908">
        <v>34917</v>
      </c>
      <c r="F908">
        <v>40482</v>
      </c>
      <c r="G908">
        <v>15</v>
      </c>
      <c r="H908" s="4">
        <v>108.30000000000001</v>
      </c>
      <c r="I908" s="2">
        <v>0.8</v>
      </c>
      <c r="J908">
        <v>0</v>
      </c>
      <c r="K908">
        <v>0</v>
      </c>
      <c r="L908">
        <v>0</v>
      </c>
      <c r="M908" s="1" t="s">
        <v>1413</v>
      </c>
      <c r="N908" s="1" t="s">
        <v>1414</v>
      </c>
    </row>
    <row r="909" spans="1:14" x14ac:dyDescent="0.25">
      <c r="A909" s="1" t="s">
        <v>918</v>
      </c>
      <c r="B909" s="1" t="s">
        <v>1193</v>
      </c>
      <c r="C909" s="1" t="s">
        <v>1037</v>
      </c>
      <c r="D909">
        <v>775933</v>
      </c>
      <c r="E909">
        <v>81428</v>
      </c>
      <c r="F909">
        <v>85353</v>
      </c>
      <c r="G909">
        <v>15</v>
      </c>
      <c r="H909" s="4">
        <v>96.500000000000014</v>
      </c>
      <c r="I909" s="2">
        <v>0.8</v>
      </c>
      <c r="J909">
        <v>21</v>
      </c>
      <c r="K909">
        <v>2</v>
      </c>
      <c r="L909">
        <v>0</v>
      </c>
      <c r="M909" s="1" t="s">
        <v>1413</v>
      </c>
      <c r="N909" s="1" t="s">
        <v>1414</v>
      </c>
    </row>
    <row r="910" spans="1:14" x14ac:dyDescent="0.25">
      <c r="A910" s="1" t="s">
        <v>919</v>
      </c>
      <c r="B910" s="1" t="s">
        <v>1097</v>
      </c>
      <c r="C910" s="1" t="s">
        <v>1037</v>
      </c>
      <c r="D910">
        <v>558849</v>
      </c>
      <c r="E910">
        <v>6934</v>
      </c>
      <c r="F910">
        <v>61473</v>
      </c>
      <c r="G910">
        <v>15</v>
      </c>
      <c r="H910" s="4">
        <v>87.2</v>
      </c>
      <c r="I910" s="2">
        <v>0.73333333333333295</v>
      </c>
      <c r="J910">
        <v>0</v>
      </c>
      <c r="K910">
        <v>0</v>
      </c>
      <c r="L910">
        <v>0</v>
      </c>
      <c r="M910" s="1" t="s">
        <v>1413</v>
      </c>
      <c r="N910" s="1" t="s">
        <v>1414</v>
      </c>
    </row>
    <row r="911" spans="1:14" x14ac:dyDescent="0.25">
      <c r="A911" s="1" t="s">
        <v>920</v>
      </c>
      <c r="B911" s="1" t="s">
        <v>1270</v>
      </c>
      <c r="C911" s="1" t="s">
        <v>3</v>
      </c>
      <c r="D911">
        <v>595780</v>
      </c>
      <c r="E911">
        <v>20084</v>
      </c>
      <c r="F911">
        <v>65536</v>
      </c>
      <c r="G911">
        <v>15</v>
      </c>
      <c r="H911" s="4">
        <v>109.70000000000002</v>
      </c>
      <c r="I911" s="2">
        <v>0.93333333333333302</v>
      </c>
      <c r="J911">
        <v>0</v>
      </c>
      <c r="K911">
        <v>0</v>
      </c>
      <c r="L911">
        <v>0</v>
      </c>
      <c r="M911" s="1" t="s">
        <v>1413</v>
      </c>
      <c r="N911" s="1" t="s">
        <v>1414</v>
      </c>
    </row>
    <row r="912" spans="1:14" x14ac:dyDescent="0.25">
      <c r="A912" s="1" t="s">
        <v>921</v>
      </c>
      <c r="B912" s="1" t="s">
        <v>1234</v>
      </c>
      <c r="C912" s="1" t="s">
        <v>7</v>
      </c>
      <c r="D912">
        <v>379726</v>
      </c>
      <c r="E912">
        <v>74376</v>
      </c>
      <c r="F912">
        <v>41770</v>
      </c>
      <c r="G912">
        <v>15</v>
      </c>
      <c r="H912" s="4">
        <v>119.8</v>
      </c>
      <c r="I912" s="2">
        <v>0.86666666666666703</v>
      </c>
      <c r="J912">
        <v>0</v>
      </c>
      <c r="K912">
        <v>0</v>
      </c>
      <c r="L912">
        <v>0</v>
      </c>
      <c r="M912" s="1" t="s">
        <v>1413</v>
      </c>
      <c r="N912" s="1" t="s">
        <v>1414</v>
      </c>
    </row>
    <row r="913" spans="1:14" x14ac:dyDescent="0.25">
      <c r="A913" s="1" t="s">
        <v>922</v>
      </c>
      <c r="B913" s="1" t="s">
        <v>1318</v>
      </c>
      <c r="C913" s="1" t="s">
        <v>23</v>
      </c>
      <c r="D913">
        <v>669675</v>
      </c>
      <c r="E913">
        <v>47622</v>
      </c>
      <c r="F913">
        <v>73664</v>
      </c>
      <c r="G913">
        <v>15</v>
      </c>
      <c r="H913" s="4">
        <v>90</v>
      </c>
      <c r="I913" s="2">
        <v>0.73333333333333295</v>
      </c>
      <c r="J913">
        <v>0</v>
      </c>
      <c r="K913">
        <v>0</v>
      </c>
      <c r="L913">
        <v>0</v>
      </c>
      <c r="M913" s="1" t="s">
        <v>1413</v>
      </c>
      <c r="N913" s="1" t="s">
        <v>1414</v>
      </c>
    </row>
    <row r="914" spans="1:14" x14ac:dyDescent="0.25">
      <c r="A914" s="1" t="s">
        <v>923</v>
      </c>
      <c r="B914" s="1" t="s">
        <v>1326</v>
      </c>
      <c r="C914" s="1" t="s">
        <v>23</v>
      </c>
      <c r="D914">
        <v>559167</v>
      </c>
      <c r="E914">
        <v>5715</v>
      </c>
      <c r="F914">
        <v>61508</v>
      </c>
      <c r="G914">
        <v>15</v>
      </c>
      <c r="H914" s="4">
        <v>102.69999999999999</v>
      </c>
      <c r="I914" s="2">
        <v>0.86666666666666703</v>
      </c>
      <c r="J914">
        <v>0</v>
      </c>
      <c r="K914">
        <v>0</v>
      </c>
      <c r="L914">
        <v>0</v>
      </c>
      <c r="M914" s="1" t="s">
        <v>1413</v>
      </c>
      <c r="N914" s="1" t="s">
        <v>1414</v>
      </c>
    </row>
    <row r="915" spans="1:14" x14ac:dyDescent="0.25">
      <c r="A915" s="1" t="s">
        <v>924</v>
      </c>
      <c r="B915" s="1" t="s">
        <v>1199</v>
      </c>
      <c r="C915" s="1" t="s">
        <v>12</v>
      </c>
      <c r="D915">
        <v>317132</v>
      </c>
      <c r="E915">
        <v>56749</v>
      </c>
      <c r="G915">
        <v>15</v>
      </c>
      <c r="H915" s="4">
        <v>95.4</v>
      </c>
      <c r="I915" s="2">
        <v>0.6</v>
      </c>
      <c r="J915">
        <v>0</v>
      </c>
      <c r="K915">
        <v>0</v>
      </c>
      <c r="L915">
        <v>0</v>
      </c>
      <c r="M915" s="1" t="s">
        <v>1413</v>
      </c>
      <c r="N915" s="1" t="s">
        <v>1414</v>
      </c>
    </row>
    <row r="916" spans="1:14" x14ac:dyDescent="0.25">
      <c r="A916" s="1" t="s">
        <v>925</v>
      </c>
      <c r="B916" s="1" t="s">
        <v>1392</v>
      </c>
      <c r="C916" s="1" t="s">
        <v>37</v>
      </c>
      <c r="D916">
        <v>355352</v>
      </c>
      <c r="E916">
        <v>73009</v>
      </c>
      <c r="F916">
        <v>39089</v>
      </c>
      <c r="G916">
        <v>15</v>
      </c>
      <c r="H916" s="4">
        <v>103.69999999999999</v>
      </c>
      <c r="I916" s="2">
        <v>0.73333333333333295</v>
      </c>
      <c r="J916">
        <v>25</v>
      </c>
      <c r="K916">
        <v>3</v>
      </c>
      <c r="L916">
        <v>0</v>
      </c>
      <c r="M916" s="1" t="s">
        <v>1413</v>
      </c>
      <c r="N916" s="1" t="s">
        <v>1414</v>
      </c>
    </row>
    <row r="917" spans="1:14" x14ac:dyDescent="0.25">
      <c r="A917" s="1" t="s">
        <v>926</v>
      </c>
      <c r="B917" s="1" t="s">
        <v>1398</v>
      </c>
      <c r="C917" s="1" t="s">
        <v>12</v>
      </c>
      <c r="D917">
        <v>308331</v>
      </c>
      <c r="E917">
        <v>58415</v>
      </c>
      <c r="F917">
        <v>33916</v>
      </c>
      <c r="G917">
        <v>15</v>
      </c>
      <c r="H917" s="4">
        <v>72.899999999999991</v>
      </c>
      <c r="I917" s="2">
        <v>0.6</v>
      </c>
      <c r="J917">
        <v>4</v>
      </c>
      <c r="K917">
        <v>1</v>
      </c>
      <c r="L917">
        <v>0</v>
      </c>
      <c r="M917" s="1" t="s">
        <v>1413</v>
      </c>
      <c r="N917" s="1" t="s">
        <v>1414</v>
      </c>
    </row>
    <row r="918" spans="1:14" x14ac:dyDescent="0.25">
      <c r="A918" s="1" t="s">
        <v>927</v>
      </c>
      <c r="B918" s="1" t="s">
        <v>1307</v>
      </c>
      <c r="C918" s="1" t="s">
        <v>12</v>
      </c>
      <c r="D918">
        <v>506732</v>
      </c>
      <c r="E918">
        <v>33949</v>
      </c>
      <c r="F918">
        <v>55741</v>
      </c>
      <c r="G918">
        <v>15</v>
      </c>
      <c r="H918" s="4">
        <v>104.10000000000001</v>
      </c>
      <c r="I918" s="2">
        <v>0.86666666666666703</v>
      </c>
      <c r="J918">
        <v>19</v>
      </c>
      <c r="K918">
        <v>2</v>
      </c>
      <c r="L918">
        <v>0</v>
      </c>
      <c r="M918" s="1" t="s">
        <v>1413</v>
      </c>
      <c r="N918" s="1" t="s">
        <v>1414</v>
      </c>
    </row>
    <row r="919" spans="1:14" x14ac:dyDescent="0.25">
      <c r="A919" s="1" t="s">
        <v>928</v>
      </c>
      <c r="B919" s="1" t="s">
        <v>1200</v>
      </c>
      <c r="C919" s="1" t="s">
        <v>5</v>
      </c>
      <c r="D919">
        <v>791034</v>
      </c>
      <c r="E919">
        <v>70589</v>
      </c>
      <c r="F919">
        <v>87014</v>
      </c>
      <c r="G919">
        <v>15</v>
      </c>
      <c r="H919" s="4">
        <v>103.99999999999999</v>
      </c>
      <c r="I919" s="2">
        <v>0.6</v>
      </c>
      <c r="J919">
        <v>0</v>
      </c>
      <c r="K919">
        <v>0</v>
      </c>
      <c r="L919">
        <v>0</v>
      </c>
      <c r="M919" s="1" t="s">
        <v>1413</v>
      </c>
      <c r="N919" s="1" t="s">
        <v>1414</v>
      </c>
    </row>
    <row r="920" spans="1:14" x14ac:dyDescent="0.25">
      <c r="A920" s="1" t="s">
        <v>929</v>
      </c>
      <c r="B920" s="1" t="s">
        <v>1289</v>
      </c>
      <c r="C920" s="1" t="s">
        <v>9</v>
      </c>
      <c r="D920">
        <v>431707</v>
      </c>
      <c r="E920">
        <v>34023</v>
      </c>
      <c r="F920">
        <v>47488</v>
      </c>
      <c r="G920">
        <v>15</v>
      </c>
      <c r="H920" s="4">
        <v>90.6</v>
      </c>
      <c r="I920" s="2">
        <v>0.73333333333333295</v>
      </c>
      <c r="J920">
        <v>0</v>
      </c>
      <c r="K920">
        <v>0</v>
      </c>
      <c r="L920">
        <v>0</v>
      </c>
      <c r="M920" s="1" t="s">
        <v>1413</v>
      </c>
      <c r="N920" s="1" t="s">
        <v>1414</v>
      </c>
    </row>
    <row r="921" spans="1:14" x14ac:dyDescent="0.25">
      <c r="A921" s="1" t="s">
        <v>930</v>
      </c>
      <c r="B921" s="1" t="s">
        <v>1189</v>
      </c>
      <c r="C921" s="1" t="s">
        <v>27</v>
      </c>
      <c r="D921">
        <v>515757</v>
      </c>
      <c r="E921">
        <v>28484</v>
      </c>
      <c r="F921">
        <v>56733</v>
      </c>
      <c r="G921">
        <v>15</v>
      </c>
      <c r="H921" s="4">
        <v>114.7</v>
      </c>
      <c r="I921" s="2">
        <v>0.8</v>
      </c>
      <c r="J921">
        <v>0</v>
      </c>
      <c r="K921">
        <v>0</v>
      </c>
      <c r="L921">
        <v>0</v>
      </c>
      <c r="M921" s="1" t="s">
        <v>1413</v>
      </c>
      <c r="N921" s="1" t="s">
        <v>1414</v>
      </c>
    </row>
    <row r="922" spans="1:14" x14ac:dyDescent="0.25">
      <c r="A922" s="1" t="s">
        <v>931</v>
      </c>
      <c r="B922" s="1" t="s">
        <v>1050</v>
      </c>
      <c r="C922" s="1" t="s">
        <v>27</v>
      </c>
      <c r="D922">
        <v>286879</v>
      </c>
      <c r="E922">
        <v>33792</v>
      </c>
      <c r="F922">
        <v>31557</v>
      </c>
      <c r="G922">
        <v>15</v>
      </c>
      <c r="H922" s="4">
        <v>99.3</v>
      </c>
      <c r="I922" s="2">
        <v>0.73333333333333295</v>
      </c>
      <c r="J922">
        <v>15</v>
      </c>
      <c r="K922">
        <v>3</v>
      </c>
      <c r="L922">
        <v>0</v>
      </c>
      <c r="M922" s="1" t="s">
        <v>1413</v>
      </c>
      <c r="N922" s="1" t="s">
        <v>1414</v>
      </c>
    </row>
    <row r="923" spans="1:14" x14ac:dyDescent="0.25">
      <c r="A923" s="1" t="s">
        <v>932</v>
      </c>
      <c r="B923" s="1" t="s">
        <v>1399</v>
      </c>
      <c r="C923" s="1" t="s">
        <v>1037</v>
      </c>
      <c r="D923">
        <v>780112</v>
      </c>
      <c r="E923">
        <v>5671</v>
      </c>
      <c r="G923">
        <v>15</v>
      </c>
      <c r="H923" s="4">
        <v>95.5</v>
      </c>
      <c r="I923" s="2">
        <v>0.6</v>
      </c>
      <c r="J923">
        <v>7</v>
      </c>
      <c r="K923">
        <v>1</v>
      </c>
      <c r="L923">
        <v>0</v>
      </c>
      <c r="M923" s="1" t="s">
        <v>1413</v>
      </c>
      <c r="N923" s="1" t="s">
        <v>1414</v>
      </c>
    </row>
    <row r="924" spans="1:14" x14ac:dyDescent="0.25">
      <c r="A924" s="1" t="s">
        <v>933</v>
      </c>
      <c r="B924" s="1" t="s">
        <v>1096</v>
      </c>
      <c r="C924" s="1" t="s">
        <v>3</v>
      </c>
      <c r="D924">
        <v>399181</v>
      </c>
      <c r="E924">
        <v>36120</v>
      </c>
      <c r="F924">
        <v>43910</v>
      </c>
      <c r="G924">
        <v>15</v>
      </c>
      <c r="H924" s="4">
        <v>96</v>
      </c>
      <c r="I924" s="2">
        <v>0.8</v>
      </c>
      <c r="J924">
        <v>0</v>
      </c>
      <c r="K924">
        <v>0</v>
      </c>
      <c r="L924">
        <v>0</v>
      </c>
      <c r="M924" s="1" t="s">
        <v>1413</v>
      </c>
      <c r="N924" s="1" t="s">
        <v>1414</v>
      </c>
    </row>
    <row r="925" spans="1:14" x14ac:dyDescent="0.25">
      <c r="A925" s="1" t="s">
        <v>934</v>
      </c>
      <c r="B925" s="1" t="s">
        <v>1270</v>
      </c>
      <c r="C925" s="1" t="s">
        <v>52</v>
      </c>
      <c r="D925">
        <v>759086</v>
      </c>
      <c r="E925">
        <v>15123</v>
      </c>
      <c r="F925">
        <v>83499</v>
      </c>
      <c r="G925">
        <v>15</v>
      </c>
      <c r="H925" s="4">
        <v>120.49999999999999</v>
      </c>
      <c r="I925" s="2">
        <v>0.8</v>
      </c>
      <c r="J925">
        <v>0</v>
      </c>
      <c r="K925">
        <v>0</v>
      </c>
      <c r="L925">
        <v>0</v>
      </c>
      <c r="M925" s="1" t="s">
        <v>1413</v>
      </c>
      <c r="N925" s="1" t="s">
        <v>1414</v>
      </c>
    </row>
    <row r="926" spans="1:14" x14ac:dyDescent="0.25">
      <c r="A926" s="1" t="s">
        <v>935</v>
      </c>
      <c r="B926" s="1" t="s">
        <v>1396</v>
      </c>
      <c r="C926" s="1" t="s">
        <v>5</v>
      </c>
      <c r="D926">
        <v>232086</v>
      </c>
      <c r="E926">
        <v>87672</v>
      </c>
      <c r="F926">
        <v>25529</v>
      </c>
      <c r="G926">
        <v>15</v>
      </c>
      <c r="H926" s="4">
        <v>112.69999999999999</v>
      </c>
      <c r="I926" s="2">
        <v>0.93333333333333302</v>
      </c>
      <c r="J926">
        <v>11</v>
      </c>
      <c r="K926">
        <v>1</v>
      </c>
      <c r="L926">
        <v>0</v>
      </c>
      <c r="M926" s="1" t="s">
        <v>1413</v>
      </c>
      <c r="N926" s="1" t="s">
        <v>1414</v>
      </c>
    </row>
    <row r="927" spans="1:14" x14ac:dyDescent="0.25">
      <c r="A927" s="1" t="s">
        <v>936</v>
      </c>
      <c r="B927" s="1" t="s">
        <v>1248</v>
      </c>
      <c r="C927" s="1" t="s">
        <v>9</v>
      </c>
      <c r="D927">
        <v>637049</v>
      </c>
      <c r="E927">
        <v>80485</v>
      </c>
      <c r="F927">
        <v>70075</v>
      </c>
      <c r="G927">
        <v>15</v>
      </c>
      <c r="H927" s="4">
        <v>95.4</v>
      </c>
      <c r="I927" s="2">
        <v>0.73333333333333295</v>
      </c>
      <c r="J927">
        <v>0</v>
      </c>
      <c r="K927">
        <v>0</v>
      </c>
      <c r="L927">
        <v>0</v>
      </c>
      <c r="M927" s="1" t="s">
        <v>1413</v>
      </c>
      <c r="N927" s="1" t="s">
        <v>1414</v>
      </c>
    </row>
    <row r="928" spans="1:14" x14ac:dyDescent="0.25">
      <c r="A928" s="1" t="s">
        <v>937</v>
      </c>
      <c r="B928" s="1" t="s">
        <v>1400</v>
      </c>
      <c r="C928" s="1" t="s">
        <v>23</v>
      </c>
      <c r="D928">
        <v>312392</v>
      </c>
      <c r="E928">
        <v>71767</v>
      </c>
      <c r="F928">
        <v>34363</v>
      </c>
      <c r="G928">
        <v>15</v>
      </c>
      <c r="H928" s="4">
        <v>112.60000000000001</v>
      </c>
      <c r="I928" s="2">
        <v>0.93333333333333302</v>
      </c>
      <c r="J928">
        <v>0</v>
      </c>
      <c r="K928">
        <v>0</v>
      </c>
      <c r="L928">
        <v>0</v>
      </c>
      <c r="M928" s="1" t="s">
        <v>1413</v>
      </c>
      <c r="N928" s="1" t="s">
        <v>1414</v>
      </c>
    </row>
    <row r="929" spans="1:14" x14ac:dyDescent="0.25">
      <c r="A929" s="1" t="s">
        <v>938</v>
      </c>
      <c r="B929" s="1" t="s">
        <v>1335</v>
      </c>
      <c r="C929" s="1" t="s">
        <v>9</v>
      </c>
      <c r="D929">
        <v>318719</v>
      </c>
      <c r="E929">
        <v>31778</v>
      </c>
      <c r="F929">
        <v>35059</v>
      </c>
      <c r="G929">
        <v>15</v>
      </c>
      <c r="H929" s="4">
        <v>103.8</v>
      </c>
      <c r="I929" s="2">
        <v>0.8</v>
      </c>
      <c r="J929">
        <v>14</v>
      </c>
      <c r="K929">
        <v>1</v>
      </c>
      <c r="L929">
        <v>0</v>
      </c>
      <c r="M929" s="1" t="s">
        <v>1413</v>
      </c>
      <c r="N929" s="1" t="s">
        <v>1414</v>
      </c>
    </row>
    <row r="930" spans="1:14" x14ac:dyDescent="0.25">
      <c r="A930" s="1" t="s">
        <v>939</v>
      </c>
      <c r="B930" s="1" t="s">
        <v>1063</v>
      </c>
      <c r="C930" s="1" t="s">
        <v>1117</v>
      </c>
      <c r="D930">
        <v>559732</v>
      </c>
      <c r="E930">
        <v>85316</v>
      </c>
      <c r="F930">
        <v>61571</v>
      </c>
      <c r="G930">
        <v>15</v>
      </c>
      <c r="H930" s="4">
        <v>119.20000000000002</v>
      </c>
      <c r="I930" s="2">
        <v>0.8</v>
      </c>
      <c r="J930">
        <v>0</v>
      </c>
      <c r="K930">
        <v>0</v>
      </c>
      <c r="L930">
        <v>0</v>
      </c>
      <c r="M930" s="1" t="s">
        <v>1413</v>
      </c>
      <c r="N930" s="1" t="s">
        <v>1414</v>
      </c>
    </row>
    <row r="931" spans="1:14" x14ac:dyDescent="0.25">
      <c r="A931" s="1" t="s">
        <v>940</v>
      </c>
      <c r="B931" s="1" t="s">
        <v>1335</v>
      </c>
      <c r="C931" s="1" t="s">
        <v>3</v>
      </c>
      <c r="D931">
        <v>226203</v>
      </c>
      <c r="E931">
        <v>62485</v>
      </c>
      <c r="F931">
        <v>24882</v>
      </c>
      <c r="G931">
        <v>15</v>
      </c>
      <c r="H931" s="4">
        <v>108</v>
      </c>
      <c r="I931" s="2">
        <v>0.8</v>
      </c>
      <c r="J931">
        <v>0</v>
      </c>
      <c r="K931">
        <v>0</v>
      </c>
      <c r="L931">
        <v>0</v>
      </c>
      <c r="M931" s="1" t="s">
        <v>1413</v>
      </c>
      <c r="N931" s="1" t="s">
        <v>1414</v>
      </c>
    </row>
    <row r="932" spans="1:14" x14ac:dyDescent="0.25">
      <c r="A932" s="1" t="s">
        <v>941</v>
      </c>
      <c r="B932" s="1" t="s">
        <v>1240</v>
      </c>
      <c r="C932" s="1" t="s">
        <v>12</v>
      </c>
      <c r="D932">
        <v>467699</v>
      </c>
      <c r="E932">
        <v>53836</v>
      </c>
      <c r="F932">
        <v>51447</v>
      </c>
      <c r="G932">
        <v>15</v>
      </c>
      <c r="H932" s="4">
        <v>108.30000000000001</v>
      </c>
      <c r="I932" s="2">
        <v>0.86666666666666703</v>
      </c>
      <c r="J932">
        <v>21</v>
      </c>
      <c r="K932">
        <v>2</v>
      </c>
      <c r="L932">
        <v>0</v>
      </c>
      <c r="M932" s="1" t="s">
        <v>1413</v>
      </c>
      <c r="N932" s="1" t="s">
        <v>1414</v>
      </c>
    </row>
    <row r="933" spans="1:14" x14ac:dyDescent="0.25">
      <c r="A933" s="1" t="s">
        <v>942</v>
      </c>
      <c r="B933" s="1" t="s">
        <v>1365</v>
      </c>
      <c r="C933" s="1" t="s">
        <v>9</v>
      </c>
      <c r="D933">
        <v>740661</v>
      </c>
      <c r="E933">
        <v>68457</v>
      </c>
      <c r="F933">
        <v>81473</v>
      </c>
      <c r="G933">
        <v>15</v>
      </c>
      <c r="H933" s="4">
        <v>110.19999999999999</v>
      </c>
      <c r="I933" s="2">
        <v>0.86666666666666703</v>
      </c>
      <c r="J933">
        <v>0</v>
      </c>
      <c r="K933">
        <v>0</v>
      </c>
      <c r="L933">
        <v>0</v>
      </c>
      <c r="M933" s="1" t="s">
        <v>1413</v>
      </c>
      <c r="N933" s="1" t="s">
        <v>1414</v>
      </c>
    </row>
    <row r="934" spans="1:14" x14ac:dyDescent="0.25">
      <c r="A934" s="1" t="s">
        <v>943</v>
      </c>
      <c r="B934" s="1" t="s">
        <v>1401</v>
      </c>
      <c r="C934" s="1" t="s">
        <v>7</v>
      </c>
      <c r="D934">
        <v>677831</v>
      </c>
      <c r="E934">
        <v>67939</v>
      </c>
      <c r="F934">
        <v>74561</v>
      </c>
      <c r="G934">
        <v>15</v>
      </c>
      <c r="H934" s="4">
        <v>96.199999999999989</v>
      </c>
      <c r="I934" s="2">
        <v>0.8</v>
      </c>
      <c r="J934">
        <v>0</v>
      </c>
      <c r="K934">
        <v>0</v>
      </c>
      <c r="L934">
        <v>0</v>
      </c>
      <c r="M934" s="1" t="s">
        <v>1413</v>
      </c>
      <c r="N934" s="1" t="s">
        <v>1414</v>
      </c>
    </row>
    <row r="935" spans="1:14" x14ac:dyDescent="0.25">
      <c r="A935" s="1" t="s">
        <v>944</v>
      </c>
      <c r="B935" s="1" t="s">
        <v>1254</v>
      </c>
      <c r="C935" s="1" t="s">
        <v>52</v>
      </c>
      <c r="D935">
        <v>615321</v>
      </c>
      <c r="E935">
        <v>47246</v>
      </c>
      <c r="F935">
        <v>67685</v>
      </c>
      <c r="G935">
        <v>14</v>
      </c>
      <c r="H935" s="4">
        <v>111</v>
      </c>
      <c r="I935" s="2">
        <v>0.92857142857142905</v>
      </c>
      <c r="J935">
        <v>3</v>
      </c>
      <c r="K935">
        <v>1</v>
      </c>
      <c r="L935">
        <v>0</v>
      </c>
      <c r="M935" s="1" t="s">
        <v>1413</v>
      </c>
      <c r="N935" s="1" t="s">
        <v>1414</v>
      </c>
    </row>
    <row r="936" spans="1:14" x14ac:dyDescent="0.25">
      <c r="A936" s="1" t="s">
        <v>945</v>
      </c>
      <c r="B936" s="1" t="s">
        <v>1386</v>
      </c>
      <c r="C936" s="1" t="s">
        <v>12</v>
      </c>
      <c r="D936">
        <v>449659</v>
      </c>
      <c r="E936">
        <v>72644</v>
      </c>
      <c r="F936">
        <v>49462</v>
      </c>
      <c r="G936">
        <v>15</v>
      </c>
      <c r="H936" s="4">
        <v>95.699999999999989</v>
      </c>
      <c r="I936" s="2">
        <v>0.66666666666666696</v>
      </c>
      <c r="J936">
        <v>0</v>
      </c>
      <c r="K936">
        <v>0</v>
      </c>
      <c r="L936">
        <v>0</v>
      </c>
      <c r="M936" s="1" t="s">
        <v>1413</v>
      </c>
      <c r="N936" s="1" t="s">
        <v>1414</v>
      </c>
    </row>
    <row r="937" spans="1:14" x14ac:dyDescent="0.25">
      <c r="A937" s="1" t="s">
        <v>946</v>
      </c>
      <c r="B937" s="1" t="s">
        <v>1402</v>
      </c>
      <c r="C937" s="1" t="s">
        <v>52</v>
      </c>
      <c r="D937">
        <v>361768</v>
      </c>
      <c r="E937">
        <v>51137</v>
      </c>
      <c r="F937">
        <v>39794</v>
      </c>
      <c r="G937">
        <v>15</v>
      </c>
      <c r="H937" s="4">
        <v>104.79999999999998</v>
      </c>
      <c r="I937" s="2">
        <v>0.73333333333333295</v>
      </c>
      <c r="J937">
        <v>0</v>
      </c>
      <c r="K937">
        <v>0</v>
      </c>
      <c r="L937">
        <v>0</v>
      </c>
      <c r="M937" s="1" t="s">
        <v>1413</v>
      </c>
      <c r="N937" s="1" t="s">
        <v>1414</v>
      </c>
    </row>
    <row r="938" spans="1:14" x14ac:dyDescent="0.25">
      <c r="A938" s="1" t="s">
        <v>947</v>
      </c>
      <c r="B938" s="1" t="s">
        <v>1368</v>
      </c>
      <c r="C938" s="1" t="s">
        <v>23</v>
      </c>
      <c r="D938">
        <v>820337</v>
      </c>
      <c r="E938">
        <v>69159</v>
      </c>
      <c r="F938">
        <v>90237</v>
      </c>
      <c r="G938">
        <v>15</v>
      </c>
      <c r="H938" s="4">
        <v>96.6</v>
      </c>
      <c r="I938" s="2">
        <v>0.66666666666666696</v>
      </c>
      <c r="J938">
        <v>3</v>
      </c>
      <c r="K938">
        <v>1</v>
      </c>
      <c r="L938">
        <v>0</v>
      </c>
      <c r="M938" s="1" t="s">
        <v>1413</v>
      </c>
      <c r="N938" s="1" t="s">
        <v>1414</v>
      </c>
    </row>
    <row r="939" spans="1:14" x14ac:dyDescent="0.25">
      <c r="A939" s="1" t="s">
        <v>948</v>
      </c>
      <c r="B939" s="1" t="s">
        <v>1210</v>
      </c>
      <c r="C939" s="1" t="s">
        <v>1037</v>
      </c>
      <c r="D939">
        <v>261032</v>
      </c>
      <c r="E939">
        <v>16219</v>
      </c>
      <c r="G939">
        <v>15</v>
      </c>
      <c r="H939" s="4">
        <v>85.200000000000017</v>
      </c>
      <c r="I939" s="2">
        <v>0.6</v>
      </c>
      <c r="J939">
        <v>0</v>
      </c>
      <c r="K939">
        <v>0</v>
      </c>
      <c r="L939">
        <v>0</v>
      </c>
      <c r="M939" s="1" t="s">
        <v>1413</v>
      </c>
      <c r="N939" s="1" t="s">
        <v>1414</v>
      </c>
    </row>
    <row r="940" spans="1:14" x14ac:dyDescent="0.25">
      <c r="A940" s="1" t="s">
        <v>949</v>
      </c>
      <c r="B940" s="1" t="s">
        <v>1152</v>
      </c>
      <c r="C940" s="1" t="s">
        <v>3</v>
      </c>
      <c r="D940">
        <v>393510</v>
      </c>
      <c r="E940">
        <v>70567</v>
      </c>
      <c r="F940">
        <v>43286</v>
      </c>
      <c r="G940">
        <v>15</v>
      </c>
      <c r="H940" s="4">
        <v>111.99999999999999</v>
      </c>
      <c r="I940" s="2">
        <v>0.86666666666666703</v>
      </c>
      <c r="J940">
        <v>8</v>
      </c>
      <c r="K940">
        <v>1</v>
      </c>
      <c r="L940">
        <v>0</v>
      </c>
      <c r="M940" s="1" t="s">
        <v>1413</v>
      </c>
      <c r="N940" s="1" t="s">
        <v>1414</v>
      </c>
    </row>
    <row r="941" spans="1:14" x14ac:dyDescent="0.25">
      <c r="A941" s="1" t="s">
        <v>950</v>
      </c>
      <c r="B941" s="1" t="s">
        <v>1135</v>
      </c>
      <c r="C941" s="1" t="s">
        <v>27</v>
      </c>
      <c r="D941">
        <v>491950</v>
      </c>
      <c r="E941">
        <v>65344</v>
      </c>
      <c r="F941">
        <v>54114</v>
      </c>
      <c r="G941">
        <v>15</v>
      </c>
      <c r="H941" s="4">
        <v>105.6</v>
      </c>
      <c r="I941" s="2">
        <v>0.86666666666666703</v>
      </c>
      <c r="J941">
        <v>0</v>
      </c>
      <c r="K941">
        <v>0</v>
      </c>
      <c r="L941">
        <v>0</v>
      </c>
      <c r="M941" s="1" t="s">
        <v>1413</v>
      </c>
      <c r="N941" s="1" t="s">
        <v>1414</v>
      </c>
    </row>
    <row r="942" spans="1:14" x14ac:dyDescent="0.25">
      <c r="A942" s="1" t="s">
        <v>951</v>
      </c>
      <c r="B942" s="1" t="s">
        <v>1137</v>
      </c>
      <c r="C942" s="1" t="s">
        <v>1037</v>
      </c>
      <c r="D942">
        <v>629213</v>
      </c>
      <c r="E942">
        <v>68343</v>
      </c>
      <c r="F942">
        <v>69213</v>
      </c>
      <c r="G942">
        <v>15</v>
      </c>
      <c r="H942" s="4">
        <v>93.2</v>
      </c>
      <c r="I942" s="2">
        <v>0.66666666666666696</v>
      </c>
      <c r="J942">
        <v>0</v>
      </c>
      <c r="K942">
        <v>0</v>
      </c>
      <c r="L942">
        <v>0</v>
      </c>
      <c r="M942" s="1" t="s">
        <v>1413</v>
      </c>
      <c r="N942" s="1" t="s">
        <v>1414</v>
      </c>
    </row>
    <row r="943" spans="1:14" x14ac:dyDescent="0.25">
      <c r="A943" s="1" t="s">
        <v>952</v>
      </c>
      <c r="B943" s="1" t="s">
        <v>1300</v>
      </c>
      <c r="C943" s="1" t="s">
        <v>3</v>
      </c>
      <c r="D943">
        <v>453564</v>
      </c>
      <c r="E943">
        <v>45268</v>
      </c>
      <c r="F943">
        <v>49892</v>
      </c>
      <c r="G943">
        <v>15</v>
      </c>
      <c r="H943" s="4">
        <v>93.899999999999991</v>
      </c>
      <c r="I943" s="2">
        <v>0.8</v>
      </c>
      <c r="J943">
        <v>6</v>
      </c>
      <c r="K943">
        <v>1</v>
      </c>
      <c r="L943">
        <v>0</v>
      </c>
      <c r="M943" s="1" t="s">
        <v>1413</v>
      </c>
      <c r="N943" s="1" t="s">
        <v>1414</v>
      </c>
    </row>
    <row r="944" spans="1:14" x14ac:dyDescent="0.25">
      <c r="A944" s="1" t="s">
        <v>953</v>
      </c>
      <c r="B944" s="1" t="s">
        <v>1294</v>
      </c>
      <c r="C944" s="1" t="s">
        <v>1117</v>
      </c>
      <c r="D944">
        <v>649863</v>
      </c>
      <c r="E944">
        <v>29193</v>
      </c>
      <c r="F944">
        <v>71485</v>
      </c>
      <c r="G944">
        <v>14</v>
      </c>
      <c r="H944" s="4">
        <v>69.099999999999994</v>
      </c>
      <c r="I944" s="2">
        <v>0.42857142857142899</v>
      </c>
      <c r="J944">
        <v>7</v>
      </c>
      <c r="K944">
        <v>1</v>
      </c>
      <c r="L944">
        <v>0</v>
      </c>
      <c r="M944" s="1" t="s">
        <v>1413</v>
      </c>
      <c r="N944" s="1" t="s">
        <v>1414</v>
      </c>
    </row>
    <row r="945" spans="1:14" x14ac:dyDescent="0.25">
      <c r="A945" s="1" t="s">
        <v>954</v>
      </c>
      <c r="B945" s="1" t="s">
        <v>1159</v>
      </c>
      <c r="C945" s="1" t="s">
        <v>3</v>
      </c>
      <c r="D945">
        <v>242805</v>
      </c>
      <c r="E945">
        <v>53449</v>
      </c>
      <c r="F945">
        <v>26709</v>
      </c>
      <c r="G945">
        <v>15</v>
      </c>
      <c r="H945" s="4">
        <v>96.899999999999977</v>
      </c>
      <c r="I945" s="2">
        <v>0.66666666666666696</v>
      </c>
      <c r="J945">
        <v>7</v>
      </c>
      <c r="K945">
        <v>1</v>
      </c>
      <c r="L945">
        <v>0</v>
      </c>
      <c r="M945" s="1" t="s">
        <v>1413</v>
      </c>
      <c r="N945" s="1" t="s">
        <v>1414</v>
      </c>
    </row>
    <row r="946" spans="1:14" x14ac:dyDescent="0.25">
      <c r="A946" s="1" t="s">
        <v>955</v>
      </c>
      <c r="B946" s="1" t="s">
        <v>1393</v>
      </c>
      <c r="C946" s="1" t="s">
        <v>9</v>
      </c>
      <c r="D946">
        <v>441209</v>
      </c>
      <c r="E946">
        <v>37694</v>
      </c>
      <c r="F946">
        <v>48533</v>
      </c>
      <c r="G946">
        <v>15</v>
      </c>
      <c r="H946" s="4">
        <v>96.4</v>
      </c>
      <c r="I946" s="2">
        <v>0.73333333333333295</v>
      </c>
      <c r="J946">
        <v>0</v>
      </c>
      <c r="K946">
        <v>0</v>
      </c>
      <c r="L946">
        <v>0</v>
      </c>
      <c r="M946" s="1" t="s">
        <v>1413</v>
      </c>
      <c r="N946" s="1" t="s">
        <v>1414</v>
      </c>
    </row>
    <row r="947" spans="1:14" x14ac:dyDescent="0.25">
      <c r="A947" s="1" t="s">
        <v>956</v>
      </c>
      <c r="B947" s="1" t="s">
        <v>1403</v>
      </c>
      <c r="C947" s="1" t="s">
        <v>9</v>
      </c>
      <c r="D947">
        <v>245323</v>
      </c>
      <c r="E947">
        <v>20449</v>
      </c>
      <c r="F947">
        <v>26986</v>
      </c>
      <c r="G947">
        <v>15</v>
      </c>
      <c r="H947" s="4">
        <v>112.09999999999998</v>
      </c>
      <c r="I947" s="2">
        <v>0.86666666666666703</v>
      </c>
      <c r="J947">
        <v>0</v>
      </c>
      <c r="K947">
        <v>0</v>
      </c>
      <c r="L947">
        <v>0</v>
      </c>
      <c r="M947" s="1" t="s">
        <v>1413</v>
      </c>
      <c r="N947" s="1" t="s">
        <v>1414</v>
      </c>
    </row>
    <row r="948" spans="1:14" x14ac:dyDescent="0.25">
      <c r="A948" s="1" t="s">
        <v>957</v>
      </c>
      <c r="B948" s="1" t="s">
        <v>1308</v>
      </c>
      <c r="C948" s="1" t="s">
        <v>3</v>
      </c>
      <c r="D948">
        <v>456558</v>
      </c>
      <c r="E948">
        <v>37324</v>
      </c>
      <c r="F948">
        <v>50221</v>
      </c>
      <c r="G948">
        <v>15</v>
      </c>
      <c r="H948" s="4">
        <v>93.999999999999986</v>
      </c>
      <c r="I948" s="2">
        <v>0.73333333333333295</v>
      </c>
      <c r="J948">
        <v>0</v>
      </c>
      <c r="K948">
        <v>0</v>
      </c>
      <c r="L948">
        <v>0</v>
      </c>
      <c r="M948" s="1" t="s">
        <v>1413</v>
      </c>
      <c r="N948" s="1" t="s">
        <v>1414</v>
      </c>
    </row>
    <row r="949" spans="1:14" x14ac:dyDescent="0.25">
      <c r="A949" s="1" t="s">
        <v>958</v>
      </c>
      <c r="B949" s="1" t="s">
        <v>1217</v>
      </c>
      <c r="C949" s="1" t="s">
        <v>3</v>
      </c>
      <c r="D949">
        <v>733132</v>
      </c>
      <c r="E949">
        <v>88499</v>
      </c>
      <c r="F949">
        <v>80645</v>
      </c>
      <c r="G949">
        <v>15</v>
      </c>
      <c r="H949" s="4">
        <v>100.79999999999998</v>
      </c>
      <c r="I949" s="2">
        <v>0.86666666666666703</v>
      </c>
      <c r="J949">
        <v>0</v>
      </c>
      <c r="K949">
        <v>0</v>
      </c>
      <c r="L949">
        <v>0</v>
      </c>
      <c r="M949" s="1" t="s">
        <v>1413</v>
      </c>
      <c r="N949" s="1" t="s">
        <v>1414</v>
      </c>
    </row>
    <row r="950" spans="1:14" x14ac:dyDescent="0.25">
      <c r="A950" s="1" t="s">
        <v>959</v>
      </c>
      <c r="B950" s="1" t="s">
        <v>1106</v>
      </c>
      <c r="C950" s="1" t="s">
        <v>27</v>
      </c>
      <c r="D950">
        <v>393107</v>
      </c>
      <c r="E950">
        <v>64274</v>
      </c>
      <c r="F950">
        <v>43242</v>
      </c>
      <c r="G950">
        <v>15</v>
      </c>
      <c r="H950" s="4">
        <v>95.899999999999977</v>
      </c>
      <c r="I950" s="2">
        <v>0.8</v>
      </c>
      <c r="J950">
        <v>0</v>
      </c>
      <c r="K950">
        <v>0</v>
      </c>
      <c r="L950">
        <v>0</v>
      </c>
      <c r="M950" s="1" t="s">
        <v>1413</v>
      </c>
      <c r="N950" s="1" t="s">
        <v>1414</v>
      </c>
    </row>
    <row r="951" spans="1:14" x14ac:dyDescent="0.25">
      <c r="A951" s="1" t="s">
        <v>960</v>
      </c>
      <c r="B951" s="1" t="s">
        <v>1347</v>
      </c>
      <c r="C951" s="1" t="s">
        <v>3</v>
      </c>
      <c r="D951">
        <v>731488</v>
      </c>
      <c r="E951">
        <v>50896</v>
      </c>
      <c r="F951">
        <v>80464</v>
      </c>
      <c r="G951">
        <v>15</v>
      </c>
      <c r="H951" s="4">
        <v>106</v>
      </c>
      <c r="I951" s="2">
        <v>0.8</v>
      </c>
      <c r="J951">
        <v>6</v>
      </c>
      <c r="K951">
        <v>1</v>
      </c>
      <c r="L951">
        <v>0</v>
      </c>
      <c r="M951" s="1" t="s">
        <v>1413</v>
      </c>
      <c r="N951" s="1" t="s">
        <v>1414</v>
      </c>
    </row>
    <row r="952" spans="1:14" x14ac:dyDescent="0.25">
      <c r="A952" s="1" t="s">
        <v>961</v>
      </c>
      <c r="B952" s="1" t="s">
        <v>1234</v>
      </c>
      <c r="C952" s="1" t="s">
        <v>7</v>
      </c>
      <c r="D952">
        <v>491651</v>
      </c>
      <c r="E952">
        <v>40461</v>
      </c>
      <c r="F952">
        <v>54082</v>
      </c>
      <c r="G952">
        <v>15</v>
      </c>
      <c r="H952" s="4">
        <v>80.900000000000006</v>
      </c>
      <c r="I952" s="2">
        <v>0.66666666666666696</v>
      </c>
      <c r="J952">
        <v>0</v>
      </c>
      <c r="K952">
        <v>0</v>
      </c>
      <c r="L952">
        <v>0</v>
      </c>
      <c r="M952" s="1" t="s">
        <v>1413</v>
      </c>
      <c r="N952" s="1" t="s">
        <v>1414</v>
      </c>
    </row>
    <row r="953" spans="1:14" x14ac:dyDescent="0.25">
      <c r="A953" s="1" t="s">
        <v>962</v>
      </c>
      <c r="B953" s="1" t="s">
        <v>1319</v>
      </c>
      <c r="C953" s="1" t="s">
        <v>5</v>
      </c>
      <c r="D953">
        <v>359893</v>
      </c>
      <c r="E953">
        <v>79385</v>
      </c>
      <c r="F953">
        <v>39588</v>
      </c>
      <c r="G953">
        <v>15</v>
      </c>
      <c r="H953" s="4">
        <v>114.3</v>
      </c>
      <c r="I953" s="2">
        <v>0.86666666666666703</v>
      </c>
      <c r="J953">
        <v>0</v>
      </c>
      <c r="K953">
        <v>0</v>
      </c>
      <c r="L953">
        <v>0</v>
      </c>
      <c r="M953" s="1" t="s">
        <v>1413</v>
      </c>
      <c r="N953" s="1" t="s">
        <v>1414</v>
      </c>
    </row>
    <row r="954" spans="1:14" x14ac:dyDescent="0.25">
      <c r="A954" s="1" t="s">
        <v>963</v>
      </c>
      <c r="B954" s="1" t="s">
        <v>1193</v>
      </c>
      <c r="C954" s="1" t="s">
        <v>9</v>
      </c>
      <c r="D954">
        <v>516995</v>
      </c>
      <c r="E954">
        <v>72236</v>
      </c>
      <c r="F954">
        <v>56869</v>
      </c>
      <c r="G954">
        <v>15</v>
      </c>
      <c r="H954" s="4">
        <v>119.30000000000001</v>
      </c>
      <c r="I954" s="2">
        <v>0.73333333333333295</v>
      </c>
      <c r="J954">
        <v>11</v>
      </c>
      <c r="K954">
        <v>1</v>
      </c>
      <c r="L954">
        <v>0</v>
      </c>
      <c r="M954" s="1" t="s">
        <v>1413</v>
      </c>
      <c r="N954" s="1" t="s">
        <v>1414</v>
      </c>
    </row>
    <row r="955" spans="1:14" x14ac:dyDescent="0.25">
      <c r="A955" s="1" t="s">
        <v>964</v>
      </c>
      <c r="B955" s="1" t="s">
        <v>1084</v>
      </c>
      <c r="C955" s="1" t="s">
        <v>5</v>
      </c>
      <c r="D955">
        <v>611359</v>
      </c>
      <c r="E955">
        <v>50080</v>
      </c>
      <c r="F955">
        <v>67249</v>
      </c>
      <c r="G955">
        <v>15</v>
      </c>
      <c r="H955" s="4">
        <v>106.5</v>
      </c>
      <c r="I955" s="2">
        <v>0.6</v>
      </c>
      <c r="J955">
        <v>3</v>
      </c>
      <c r="K955">
        <v>1</v>
      </c>
      <c r="L955">
        <v>0</v>
      </c>
      <c r="M955" s="1" t="s">
        <v>1413</v>
      </c>
      <c r="N955" s="1" t="s">
        <v>1414</v>
      </c>
    </row>
    <row r="956" spans="1:14" x14ac:dyDescent="0.25">
      <c r="A956" s="1" t="s">
        <v>965</v>
      </c>
      <c r="B956" s="1" t="s">
        <v>1026</v>
      </c>
      <c r="C956" s="1" t="s">
        <v>1037</v>
      </c>
      <c r="D956">
        <v>780463</v>
      </c>
      <c r="E956">
        <v>60153</v>
      </c>
      <c r="F956">
        <v>85851</v>
      </c>
      <c r="G956">
        <v>15</v>
      </c>
      <c r="H956" s="4">
        <v>109.00000000000001</v>
      </c>
      <c r="I956" s="2">
        <v>0.8</v>
      </c>
      <c r="J956">
        <v>0</v>
      </c>
      <c r="K956">
        <v>0</v>
      </c>
      <c r="L956">
        <v>0</v>
      </c>
      <c r="M956" s="1" t="s">
        <v>1413</v>
      </c>
      <c r="N956" s="1" t="s">
        <v>1414</v>
      </c>
    </row>
    <row r="957" spans="1:14" x14ac:dyDescent="0.25">
      <c r="A957" s="1" t="s">
        <v>966</v>
      </c>
      <c r="B957" s="1" t="s">
        <v>1376</v>
      </c>
      <c r="C957" s="1" t="s">
        <v>52</v>
      </c>
      <c r="D957">
        <v>629693</v>
      </c>
      <c r="E957">
        <v>6633</v>
      </c>
      <c r="F957">
        <v>69266</v>
      </c>
      <c r="G957">
        <v>15</v>
      </c>
      <c r="H957" s="4">
        <v>105.2</v>
      </c>
      <c r="I957" s="2">
        <v>0.66666666666666696</v>
      </c>
      <c r="J957">
        <v>0</v>
      </c>
      <c r="K957">
        <v>0</v>
      </c>
      <c r="L957">
        <v>0</v>
      </c>
      <c r="M957" s="1" t="s">
        <v>1413</v>
      </c>
      <c r="N957" s="1" t="s">
        <v>1414</v>
      </c>
    </row>
    <row r="958" spans="1:14" x14ac:dyDescent="0.25">
      <c r="A958" s="1" t="s">
        <v>967</v>
      </c>
      <c r="B958" s="1" t="s">
        <v>1092</v>
      </c>
      <c r="C958" s="1" t="s">
        <v>9</v>
      </c>
      <c r="D958">
        <v>499228</v>
      </c>
      <c r="E958">
        <v>61609</v>
      </c>
      <c r="F958">
        <v>54915</v>
      </c>
      <c r="G958">
        <v>15</v>
      </c>
      <c r="H958" s="4">
        <v>95.7</v>
      </c>
      <c r="I958" s="2">
        <v>0.66666666666666696</v>
      </c>
      <c r="J958">
        <v>4</v>
      </c>
      <c r="K958">
        <v>1</v>
      </c>
      <c r="L958">
        <v>0</v>
      </c>
      <c r="M958" s="1" t="s">
        <v>1413</v>
      </c>
      <c r="N958" s="1" t="s">
        <v>1414</v>
      </c>
    </row>
    <row r="959" spans="1:14" x14ac:dyDescent="0.25">
      <c r="A959" s="1" t="s">
        <v>968</v>
      </c>
      <c r="B959" s="1" t="s">
        <v>1404</v>
      </c>
      <c r="C959" s="1" t="s">
        <v>12</v>
      </c>
      <c r="D959">
        <v>365790</v>
      </c>
      <c r="E959">
        <v>47708</v>
      </c>
      <c r="F959">
        <v>40237</v>
      </c>
      <c r="G959">
        <v>15</v>
      </c>
      <c r="H959" s="4">
        <v>102.5</v>
      </c>
      <c r="I959" s="2">
        <v>0.73333333333333295</v>
      </c>
      <c r="J959">
        <v>4</v>
      </c>
      <c r="K959">
        <v>1</v>
      </c>
      <c r="L959">
        <v>0</v>
      </c>
      <c r="M959" s="1" t="s">
        <v>1413</v>
      </c>
      <c r="N959" s="1" t="s">
        <v>1414</v>
      </c>
    </row>
    <row r="960" spans="1:14" x14ac:dyDescent="0.25">
      <c r="A960" s="1" t="s">
        <v>969</v>
      </c>
      <c r="B960" s="1" t="s">
        <v>1095</v>
      </c>
      <c r="C960" s="1" t="s">
        <v>27</v>
      </c>
      <c r="D960">
        <v>603490</v>
      </c>
      <c r="E960">
        <v>60239</v>
      </c>
      <c r="F960">
        <v>66384</v>
      </c>
      <c r="G960">
        <v>15</v>
      </c>
      <c r="H960" s="4">
        <v>104.6</v>
      </c>
      <c r="I960" s="2">
        <v>0.6</v>
      </c>
      <c r="J960">
        <v>10</v>
      </c>
      <c r="K960">
        <v>1</v>
      </c>
      <c r="L960">
        <v>0</v>
      </c>
      <c r="M960" s="1" t="s">
        <v>1413</v>
      </c>
      <c r="N960" s="1" t="s">
        <v>1414</v>
      </c>
    </row>
    <row r="961" spans="1:14" x14ac:dyDescent="0.25">
      <c r="A961" s="1" t="s">
        <v>970</v>
      </c>
      <c r="B961" s="1" t="s">
        <v>1047</v>
      </c>
      <c r="C961" s="1" t="s">
        <v>12</v>
      </c>
      <c r="D961">
        <v>311294</v>
      </c>
      <c r="E961">
        <v>48746</v>
      </c>
      <c r="F961">
        <v>34242</v>
      </c>
      <c r="G961">
        <v>15</v>
      </c>
      <c r="H961" s="4">
        <v>108.19999999999999</v>
      </c>
      <c r="I961" s="2">
        <v>0.73333333333333295</v>
      </c>
      <c r="J961">
        <v>0</v>
      </c>
      <c r="K961">
        <v>0</v>
      </c>
      <c r="L961">
        <v>0</v>
      </c>
      <c r="M961" s="1" t="s">
        <v>1413</v>
      </c>
      <c r="N961" s="1" t="s">
        <v>1414</v>
      </c>
    </row>
    <row r="962" spans="1:14" x14ac:dyDescent="0.25">
      <c r="A962" s="1" t="s">
        <v>971</v>
      </c>
      <c r="B962" s="1" t="s">
        <v>1159</v>
      </c>
      <c r="C962" s="1" t="s">
        <v>9</v>
      </c>
      <c r="D962">
        <v>489064</v>
      </c>
      <c r="E962">
        <v>6544</v>
      </c>
      <c r="F962">
        <v>53797</v>
      </c>
      <c r="G962">
        <v>15</v>
      </c>
      <c r="H962" s="4">
        <v>87.199999999999989</v>
      </c>
      <c r="I962" s="2">
        <v>0.6</v>
      </c>
      <c r="J962">
        <v>0</v>
      </c>
      <c r="K962">
        <v>0</v>
      </c>
      <c r="L962">
        <v>0</v>
      </c>
      <c r="M962" s="1" t="s">
        <v>1413</v>
      </c>
      <c r="N962" s="1" t="s">
        <v>1414</v>
      </c>
    </row>
    <row r="963" spans="1:14" x14ac:dyDescent="0.25">
      <c r="A963" s="1" t="s">
        <v>972</v>
      </c>
      <c r="B963" s="1" t="s">
        <v>1134</v>
      </c>
      <c r="C963" s="1" t="s">
        <v>5</v>
      </c>
      <c r="D963">
        <v>294337</v>
      </c>
      <c r="E963">
        <v>16188</v>
      </c>
      <c r="F963">
        <v>32377</v>
      </c>
      <c r="G963">
        <v>15</v>
      </c>
      <c r="H963" s="4">
        <v>104.09999999999998</v>
      </c>
      <c r="I963" s="2">
        <v>0.73333333333333295</v>
      </c>
      <c r="J963">
        <v>0</v>
      </c>
      <c r="K963">
        <v>0</v>
      </c>
      <c r="L963">
        <v>0</v>
      </c>
      <c r="M963" s="1" t="s">
        <v>1413</v>
      </c>
      <c r="N963" s="1" t="s">
        <v>1414</v>
      </c>
    </row>
    <row r="964" spans="1:14" x14ac:dyDescent="0.25">
      <c r="A964" s="1" t="s">
        <v>973</v>
      </c>
      <c r="B964" s="1" t="s">
        <v>1115</v>
      </c>
      <c r="C964" s="1" t="s">
        <v>3</v>
      </c>
      <c r="D964">
        <v>299676</v>
      </c>
      <c r="E964">
        <v>40947</v>
      </c>
      <c r="F964">
        <v>32964</v>
      </c>
      <c r="G964">
        <v>15</v>
      </c>
      <c r="H964" s="4">
        <v>106.9</v>
      </c>
      <c r="I964" s="2">
        <v>0.8</v>
      </c>
      <c r="J964">
        <v>4</v>
      </c>
      <c r="K964">
        <v>1</v>
      </c>
      <c r="L964">
        <v>0</v>
      </c>
      <c r="M964" s="1" t="s">
        <v>1413</v>
      </c>
      <c r="N964" s="1" t="s">
        <v>1414</v>
      </c>
    </row>
    <row r="965" spans="1:14" x14ac:dyDescent="0.25">
      <c r="A965" s="1" t="s">
        <v>974</v>
      </c>
      <c r="B965" s="1" t="s">
        <v>1106</v>
      </c>
      <c r="C965" s="1" t="s">
        <v>3</v>
      </c>
      <c r="D965">
        <v>537161</v>
      </c>
      <c r="E965">
        <v>8109</v>
      </c>
      <c r="F965">
        <v>59088</v>
      </c>
      <c r="G965">
        <v>15</v>
      </c>
      <c r="H965" s="4">
        <v>95.399999999999991</v>
      </c>
      <c r="I965" s="2">
        <v>0.46666666666666701</v>
      </c>
      <c r="J965">
        <v>3</v>
      </c>
      <c r="K965">
        <v>1</v>
      </c>
      <c r="L965">
        <v>0</v>
      </c>
      <c r="M965" s="1" t="s">
        <v>1413</v>
      </c>
      <c r="N965" s="1" t="s">
        <v>1414</v>
      </c>
    </row>
    <row r="966" spans="1:14" x14ac:dyDescent="0.25">
      <c r="A966" s="1" t="s">
        <v>975</v>
      </c>
      <c r="B966" s="1" t="s">
        <v>1294</v>
      </c>
      <c r="C966" s="1" t="s">
        <v>9</v>
      </c>
      <c r="D966">
        <v>413508</v>
      </c>
      <c r="E966">
        <v>2000</v>
      </c>
      <c r="F966">
        <v>45486</v>
      </c>
      <c r="G966">
        <v>15</v>
      </c>
      <c r="H966" s="4">
        <v>103.2</v>
      </c>
      <c r="I966" s="2">
        <v>0.66666666666666696</v>
      </c>
      <c r="J966">
        <v>0</v>
      </c>
      <c r="K966">
        <v>0</v>
      </c>
      <c r="L966">
        <v>0</v>
      </c>
      <c r="M966" s="1" t="s">
        <v>1413</v>
      </c>
      <c r="N966" s="1" t="s">
        <v>1414</v>
      </c>
    </row>
    <row r="967" spans="1:14" x14ac:dyDescent="0.25">
      <c r="A967" s="1" t="s">
        <v>976</v>
      </c>
      <c r="B967" s="1" t="s">
        <v>1399</v>
      </c>
      <c r="C967" s="1" t="s">
        <v>27</v>
      </c>
      <c r="D967">
        <v>223452</v>
      </c>
      <c r="E967">
        <v>58524</v>
      </c>
      <c r="G967">
        <v>14</v>
      </c>
      <c r="H967" s="4">
        <v>100.10000000000001</v>
      </c>
      <c r="I967" s="2">
        <v>0.85714285714285698</v>
      </c>
      <c r="J967">
        <v>10</v>
      </c>
      <c r="K967">
        <v>1</v>
      </c>
      <c r="L967">
        <v>0</v>
      </c>
      <c r="M967" s="1" t="s">
        <v>1413</v>
      </c>
      <c r="N967" s="1" t="s">
        <v>1414</v>
      </c>
    </row>
    <row r="968" spans="1:14" x14ac:dyDescent="0.25">
      <c r="A968" s="1" t="s">
        <v>977</v>
      </c>
      <c r="B968" s="1" t="s">
        <v>1262</v>
      </c>
      <c r="C968" s="1" t="s">
        <v>52</v>
      </c>
      <c r="D968">
        <v>686387</v>
      </c>
      <c r="E968">
        <v>64762</v>
      </c>
      <c r="F968">
        <v>75503</v>
      </c>
      <c r="G968">
        <v>15</v>
      </c>
      <c r="H968" s="4">
        <v>95</v>
      </c>
      <c r="I968" s="2">
        <v>0.73333333333333295</v>
      </c>
      <c r="J968">
        <v>0</v>
      </c>
      <c r="K968">
        <v>0</v>
      </c>
      <c r="L968">
        <v>0</v>
      </c>
      <c r="M968" s="1" t="s">
        <v>1413</v>
      </c>
      <c r="N968" s="1" t="s">
        <v>1414</v>
      </c>
    </row>
    <row r="969" spans="1:14" x14ac:dyDescent="0.25">
      <c r="A969" s="1" t="s">
        <v>978</v>
      </c>
      <c r="B969" s="1" t="s">
        <v>1187</v>
      </c>
      <c r="C969" s="1" t="s">
        <v>5</v>
      </c>
      <c r="D969">
        <v>693524</v>
      </c>
      <c r="E969">
        <v>87787</v>
      </c>
      <c r="F969">
        <v>76288</v>
      </c>
      <c r="G969">
        <v>15</v>
      </c>
      <c r="H969" s="4">
        <v>89.7</v>
      </c>
      <c r="I969" s="2">
        <v>0.66666666666666696</v>
      </c>
      <c r="J969">
        <v>0</v>
      </c>
      <c r="K969">
        <v>0</v>
      </c>
      <c r="L969">
        <v>0</v>
      </c>
      <c r="M969" s="1" t="s">
        <v>1413</v>
      </c>
      <c r="N969" s="1" t="s">
        <v>1414</v>
      </c>
    </row>
    <row r="970" spans="1:14" x14ac:dyDescent="0.25">
      <c r="A970" s="1" t="s">
        <v>979</v>
      </c>
      <c r="B970" s="1" t="s">
        <v>1405</v>
      </c>
      <c r="C970" s="1" t="s">
        <v>7</v>
      </c>
      <c r="D970">
        <v>450959</v>
      </c>
      <c r="E970">
        <v>40548</v>
      </c>
      <c r="F970">
        <v>49605</v>
      </c>
      <c r="G970">
        <v>15</v>
      </c>
      <c r="H970" s="4">
        <v>89.2</v>
      </c>
      <c r="I970" s="2">
        <v>0.73333333333333295</v>
      </c>
      <c r="J970">
        <v>9</v>
      </c>
      <c r="K970">
        <v>1</v>
      </c>
      <c r="L970">
        <v>0</v>
      </c>
      <c r="M970" s="1" t="s">
        <v>1413</v>
      </c>
      <c r="N970" s="1" t="s">
        <v>1414</v>
      </c>
    </row>
    <row r="971" spans="1:14" x14ac:dyDescent="0.25">
      <c r="A971" s="1" t="s">
        <v>980</v>
      </c>
      <c r="B971" s="1" t="s">
        <v>1251</v>
      </c>
      <c r="C971" s="1" t="s">
        <v>1037</v>
      </c>
      <c r="D971">
        <v>575296</v>
      </c>
      <c r="E971">
        <v>56955</v>
      </c>
      <c r="F971">
        <v>63283</v>
      </c>
      <c r="G971">
        <v>15</v>
      </c>
      <c r="H971" s="4">
        <v>97.6</v>
      </c>
      <c r="I971" s="2">
        <v>0.73333333333333295</v>
      </c>
      <c r="J971">
        <v>0</v>
      </c>
      <c r="K971">
        <v>0</v>
      </c>
      <c r="L971">
        <v>0</v>
      </c>
      <c r="M971" s="1" t="s">
        <v>1413</v>
      </c>
      <c r="N971" s="1" t="s">
        <v>1414</v>
      </c>
    </row>
    <row r="972" spans="1:14" x14ac:dyDescent="0.25">
      <c r="A972" s="1" t="s">
        <v>981</v>
      </c>
      <c r="B972" s="1" t="s">
        <v>1240</v>
      </c>
      <c r="C972" s="1" t="s">
        <v>1117</v>
      </c>
      <c r="D972">
        <v>530415</v>
      </c>
      <c r="E972">
        <v>3427</v>
      </c>
      <c r="F972">
        <v>58346</v>
      </c>
      <c r="G972">
        <v>15</v>
      </c>
      <c r="H972" s="4">
        <v>107</v>
      </c>
      <c r="I972" s="2">
        <v>0.8</v>
      </c>
      <c r="J972">
        <v>0</v>
      </c>
      <c r="K972">
        <v>0</v>
      </c>
      <c r="L972">
        <v>0</v>
      </c>
      <c r="M972" s="1" t="s">
        <v>1413</v>
      </c>
      <c r="N972" s="1" t="s">
        <v>1414</v>
      </c>
    </row>
    <row r="973" spans="1:14" x14ac:dyDescent="0.25">
      <c r="A973" s="1" t="s">
        <v>982</v>
      </c>
      <c r="B973" s="1" t="s">
        <v>1203</v>
      </c>
      <c r="C973" s="1" t="s">
        <v>12</v>
      </c>
      <c r="D973">
        <v>482905</v>
      </c>
      <c r="E973">
        <v>63373</v>
      </c>
      <c r="F973">
        <v>53120</v>
      </c>
      <c r="G973">
        <v>15</v>
      </c>
      <c r="H973" s="4">
        <v>88.1</v>
      </c>
      <c r="I973" s="2">
        <v>0.53333333333333299</v>
      </c>
      <c r="J973">
        <v>14</v>
      </c>
      <c r="K973">
        <v>1</v>
      </c>
      <c r="L973">
        <v>0</v>
      </c>
      <c r="M973" s="1" t="s">
        <v>1413</v>
      </c>
      <c r="N973" s="1" t="s">
        <v>1414</v>
      </c>
    </row>
    <row r="974" spans="1:14" x14ac:dyDescent="0.25">
      <c r="A974" s="1" t="s">
        <v>983</v>
      </c>
      <c r="B974" s="1" t="s">
        <v>1190</v>
      </c>
      <c r="C974" s="1" t="s">
        <v>12</v>
      </c>
      <c r="D974">
        <v>229006</v>
      </c>
      <c r="E974">
        <v>44554</v>
      </c>
      <c r="F974">
        <v>25191</v>
      </c>
      <c r="G974">
        <v>15</v>
      </c>
      <c r="H974" s="4">
        <v>112.69999999999999</v>
      </c>
      <c r="I974" s="2">
        <v>0.73333333333333295</v>
      </c>
      <c r="J974">
        <v>0</v>
      </c>
      <c r="K974">
        <v>0</v>
      </c>
      <c r="L974">
        <v>0</v>
      </c>
      <c r="M974" s="1" t="s">
        <v>1413</v>
      </c>
      <c r="N974" s="1" t="s">
        <v>1414</v>
      </c>
    </row>
    <row r="975" spans="1:14" x14ac:dyDescent="0.25">
      <c r="A975" s="1" t="s">
        <v>984</v>
      </c>
      <c r="B975" s="1" t="s">
        <v>1298</v>
      </c>
      <c r="C975" s="1" t="s">
        <v>37</v>
      </c>
      <c r="D975">
        <v>360708</v>
      </c>
      <c r="E975">
        <v>52961</v>
      </c>
      <c r="F975">
        <v>39678</v>
      </c>
      <c r="G975">
        <v>15</v>
      </c>
      <c r="H975" s="4">
        <v>116.29999999999998</v>
      </c>
      <c r="I975" s="2">
        <v>0.93333333333333302</v>
      </c>
      <c r="J975">
        <v>13</v>
      </c>
      <c r="K975">
        <v>1</v>
      </c>
      <c r="L975">
        <v>0</v>
      </c>
      <c r="M975" s="1" t="s">
        <v>1413</v>
      </c>
      <c r="N975" s="1" t="s">
        <v>1414</v>
      </c>
    </row>
    <row r="976" spans="1:14" x14ac:dyDescent="0.25">
      <c r="A976" s="1" t="s">
        <v>985</v>
      </c>
      <c r="B976" s="1" t="s">
        <v>1142</v>
      </c>
      <c r="C976" s="1" t="s">
        <v>1037</v>
      </c>
      <c r="D976">
        <v>285020</v>
      </c>
      <c r="E976">
        <v>3420</v>
      </c>
      <c r="F976">
        <v>31352</v>
      </c>
      <c r="G976">
        <v>15</v>
      </c>
      <c r="H976" s="4">
        <v>111.9</v>
      </c>
      <c r="I976" s="2">
        <v>0.86666666666666703</v>
      </c>
      <c r="J976">
        <v>0</v>
      </c>
      <c r="K976">
        <v>0</v>
      </c>
      <c r="L976">
        <v>0</v>
      </c>
      <c r="M976" s="1" t="s">
        <v>1413</v>
      </c>
      <c r="N976" s="1" t="s">
        <v>1414</v>
      </c>
    </row>
    <row r="977" spans="1:14" x14ac:dyDescent="0.25">
      <c r="A977" s="1" t="s">
        <v>986</v>
      </c>
      <c r="B977" s="1" t="s">
        <v>1074</v>
      </c>
      <c r="C977" s="1" t="s">
        <v>5</v>
      </c>
      <c r="D977">
        <v>540804</v>
      </c>
      <c r="E977">
        <v>51273</v>
      </c>
      <c r="F977">
        <v>59488</v>
      </c>
      <c r="G977">
        <v>15</v>
      </c>
      <c r="H977" s="4">
        <v>106</v>
      </c>
      <c r="I977" s="2">
        <v>0.6</v>
      </c>
      <c r="J977">
        <v>0</v>
      </c>
      <c r="K977">
        <v>0</v>
      </c>
      <c r="L977">
        <v>0</v>
      </c>
      <c r="M977" s="1" t="s">
        <v>1413</v>
      </c>
      <c r="N977" s="1" t="s">
        <v>1414</v>
      </c>
    </row>
    <row r="978" spans="1:14" x14ac:dyDescent="0.25">
      <c r="A978" s="1" t="s">
        <v>987</v>
      </c>
      <c r="B978" s="1" t="s">
        <v>1354</v>
      </c>
      <c r="C978" s="1" t="s">
        <v>27</v>
      </c>
      <c r="D978">
        <v>625910</v>
      </c>
      <c r="E978">
        <v>37932</v>
      </c>
      <c r="F978">
        <v>68850</v>
      </c>
      <c r="G978">
        <v>15</v>
      </c>
      <c r="H978" s="4">
        <v>104.19999999999999</v>
      </c>
      <c r="I978" s="2">
        <v>0.8</v>
      </c>
      <c r="J978">
        <v>3</v>
      </c>
      <c r="K978">
        <v>1</v>
      </c>
      <c r="L978">
        <v>0</v>
      </c>
      <c r="M978" s="1" t="s">
        <v>1413</v>
      </c>
      <c r="N978" s="1" t="s">
        <v>1414</v>
      </c>
    </row>
    <row r="979" spans="1:14" x14ac:dyDescent="0.25">
      <c r="A979" s="1" t="s">
        <v>988</v>
      </c>
      <c r="B979" s="1" t="s">
        <v>1357</v>
      </c>
      <c r="C979" s="1" t="s">
        <v>9</v>
      </c>
      <c r="D979">
        <v>493619</v>
      </c>
      <c r="E979">
        <v>49994</v>
      </c>
      <c r="F979">
        <v>54298</v>
      </c>
      <c r="G979">
        <v>15</v>
      </c>
      <c r="H979" s="4">
        <v>111.10000000000001</v>
      </c>
      <c r="I979" s="2">
        <v>0.8</v>
      </c>
      <c r="J979">
        <v>0</v>
      </c>
      <c r="K979">
        <v>0</v>
      </c>
      <c r="L979">
        <v>0</v>
      </c>
      <c r="M979" s="1" t="s">
        <v>1413</v>
      </c>
      <c r="N979" s="1" t="s">
        <v>1414</v>
      </c>
    </row>
    <row r="980" spans="1:14" x14ac:dyDescent="0.25">
      <c r="A980" s="1" t="s">
        <v>989</v>
      </c>
      <c r="B980" s="1" t="s">
        <v>1118</v>
      </c>
      <c r="C980" s="1" t="s">
        <v>7</v>
      </c>
      <c r="D980">
        <v>408548</v>
      </c>
      <c r="E980">
        <v>5358</v>
      </c>
      <c r="F980">
        <v>44940</v>
      </c>
      <c r="G980">
        <v>15</v>
      </c>
      <c r="H980" s="4">
        <v>86.8</v>
      </c>
      <c r="I980" s="2">
        <v>0.66666666666666696</v>
      </c>
      <c r="J980">
        <v>0</v>
      </c>
      <c r="K980">
        <v>0</v>
      </c>
      <c r="L980">
        <v>0</v>
      </c>
      <c r="M980" s="1" t="s">
        <v>1413</v>
      </c>
      <c r="N980" s="1" t="s">
        <v>1414</v>
      </c>
    </row>
    <row r="981" spans="1:14" x14ac:dyDescent="0.25">
      <c r="A981" s="1" t="s">
        <v>990</v>
      </c>
      <c r="B981" s="1" t="s">
        <v>1217</v>
      </c>
      <c r="C981" s="1" t="s">
        <v>23</v>
      </c>
      <c r="D981">
        <v>849588</v>
      </c>
      <c r="E981">
        <v>86324</v>
      </c>
      <c r="F981">
        <v>93455</v>
      </c>
      <c r="G981">
        <v>15</v>
      </c>
      <c r="H981" s="4">
        <v>121.20000000000003</v>
      </c>
      <c r="I981" s="2">
        <v>0.73333333333333295</v>
      </c>
      <c r="J981">
        <v>0</v>
      </c>
      <c r="K981">
        <v>0</v>
      </c>
      <c r="L981">
        <v>0</v>
      </c>
      <c r="M981" s="1" t="s">
        <v>1413</v>
      </c>
      <c r="N981" s="1" t="s">
        <v>1414</v>
      </c>
    </row>
    <row r="982" spans="1:14" x14ac:dyDescent="0.25">
      <c r="A982" s="1" t="s">
        <v>991</v>
      </c>
      <c r="B982" s="1" t="s">
        <v>1323</v>
      </c>
      <c r="C982" s="1" t="s">
        <v>9</v>
      </c>
      <c r="D982">
        <v>561964</v>
      </c>
      <c r="E982">
        <v>31318</v>
      </c>
      <c r="F982">
        <v>61816</v>
      </c>
      <c r="G982">
        <v>15</v>
      </c>
      <c r="H982" s="4">
        <v>71.600000000000009</v>
      </c>
      <c r="I982" s="2">
        <v>0.6</v>
      </c>
      <c r="J982">
        <v>0</v>
      </c>
      <c r="K982">
        <v>0</v>
      </c>
      <c r="L982">
        <v>0</v>
      </c>
      <c r="M982" s="1" t="s">
        <v>1413</v>
      </c>
      <c r="N982" s="1" t="s">
        <v>1414</v>
      </c>
    </row>
    <row r="983" spans="1:14" x14ac:dyDescent="0.25">
      <c r="A983" s="1" t="s">
        <v>992</v>
      </c>
      <c r="B983" s="1" t="s">
        <v>1381</v>
      </c>
      <c r="C983" s="1" t="s">
        <v>1117</v>
      </c>
      <c r="D983">
        <v>373998</v>
      </c>
      <c r="E983">
        <v>37814</v>
      </c>
      <c r="F983">
        <v>41140</v>
      </c>
      <c r="G983">
        <v>15</v>
      </c>
      <c r="H983" s="4">
        <v>121</v>
      </c>
      <c r="I983" s="2">
        <v>1</v>
      </c>
      <c r="J983">
        <v>0</v>
      </c>
      <c r="K983">
        <v>0</v>
      </c>
      <c r="L983">
        <v>0</v>
      </c>
      <c r="M983" s="1" t="s">
        <v>1413</v>
      </c>
      <c r="N983" s="1" t="s">
        <v>1414</v>
      </c>
    </row>
    <row r="984" spans="1:14" x14ac:dyDescent="0.25">
      <c r="A984" s="1" t="s">
        <v>993</v>
      </c>
      <c r="B984" s="1" t="s">
        <v>1171</v>
      </c>
      <c r="C984" s="1" t="s">
        <v>9</v>
      </c>
      <c r="D984">
        <v>699774</v>
      </c>
      <c r="E984">
        <v>82548</v>
      </c>
      <c r="F984">
        <v>76975</v>
      </c>
      <c r="G984">
        <v>15</v>
      </c>
      <c r="H984" s="4">
        <v>102.4</v>
      </c>
      <c r="I984" s="2">
        <v>0.73333333333333295</v>
      </c>
      <c r="J984">
        <v>0</v>
      </c>
      <c r="K984">
        <v>0</v>
      </c>
      <c r="L984">
        <v>0</v>
      </c>
      <c r="M984" s="1" t="s">
        <v>1413</v>
      </c>
      <c r="N984" s="1" t="s">
        <v>1414</v>
      </c>
    </row>
    <row r="985" spans="1:14" x14ac:dyDescent="0.25">
      <c r="A985" s="1" t="s">
        <v>994</v>
      </c>
      <c r="B985" s="1" t="s">
        <v>1335</v>
      </c>
      <c r="C985" s="1" t="s">
        <v>12</v>
      </c>
      <c r="D985">
        <v>809938</v>
      </c>
      <c r="E985">
        <v>38128</v>
      </c>
      <c r="F985">
        <v>89093</v>
      </c>
      <c r="G985">
        <v>15</v>
      </c>
      <c r="H985" s="4">
        <v>121.89999999999999</v>
      </c>
      <c r="I985" s="2">
        <v>0.86666666666666703</v>
      </c>
      <c r="J985">
        <v>3</v>
      </c>
      <c r="K985">
        <v>1</v>
      </c>
      <c r="L985">
        <v>0</v>
      </c>
      <c r="M985" s="1" t="s">
        <v>1413</v>
      </c>
      <c r="N985" s="1" t="s">
        <v>1414</v>
      </c>
    </row>
    <row r="986" spans="1:14" x14ac:dyDescent="0.25">
      <c r="A986" s="1" t="s">
        <v>995</v>
      </c>
      <c r="B986" s="1" t="s">
        <v>1295</v>
      </c>
      <c r="C986" s="1" t="s">
        <v>1117</v>
      </c>
      <c r="D986">
        <v>451710</v>
      </c>
      <c r="E986">
        <v>43604</v>
      </c>
      <c r="F986">
        <v>49688</v>
      </c>
      <c r="G986">
        <v>15</v>
      </c>
      <c r="H986" s="4">
        <v>101.29999999999998</v>
      </c>
      <c r="I986" s="2">
        <v>0.6</v>
      </c>
      <c r="J986">
        <v>0</v>
      </c>
      <c r="K986">
        <v>0</v>
      </c>
      <c r="L986">
        <v>0</v>
      </c>
      <c r="M986" s="1" t="s">
        <v>1413</v>
      </c>
      <c r="N986" s="1" t="s">
        <v>1414</v>
      </c>
    </row>
    <row r="987" spans="1:14" x14ac:dyDescent="0.25">
      <c r="A987" s="1" t="s">
        <v>996</v>
      </c>
      <c r="B987" s="1" t="s">
        <v>1221</v>
      </c>
      <c r="C987" s="1" t="s">
        <v>23</v>
      </c>
      <c r="D987">
        <v>571528</v>
      </c>
      <c r="E987">
        <v>48926</v>
      </c>
      <c r="F987">
        <v>62868</v>
      </c>
      <c r="G987">
        <v>15</v>
      </c>
      <c r="H987" s="4">
        <v>114.80000000000001</v>
      </c>
      <c r="I987" s="2">
        <v>0.93333333333333302</v>
      </c>
      <c r="J987">
        <v>9</v>
      </c>
      <c r="K987">
        <v>1</v>
      </c>
      <c r="L987">
        <v>0</v>
      </c>
      <c r="M987" s="1" t="s">
        <v>1413</v>
      </c>
      <c r="N987" s="1" t="s">
        <v>1414</v>
      </c>
    </row>
    <row r="988" spans="1:14" x14ac:dyDescent="0.25">
      <c r="A988" s="1" t="s">
        <v>997</v>
      </c>
      <c r="B988" s="1" t="s">
        <v>1158</v>
      </c>
      <c r="C988" s="1" t="s">
        <v>23</v>
      </c>
      <c r="D988">
        <v>772950</v>
      </c>
      <c r="E988">
        <v>16078</v>
      </c>
      <c r="F988">
        <v>85024</v>
      </c>
      <c r="G988">
        <v>15</v>
      </c>
      <c r="H988" s="4">
        <v>119</v>
      </c>
      <c r="I988" s="2">
        <v>0.93333333333333302</v>
      </c>
      <c r="J988">
        <v>0</v>
      </c>
      <c r="K988">
        <v>0</v>
      </c>
      <c r="L988">
        <v>0</v>
      </c>
      <c r="M988" s="1" t="s">
        <v>1413</v>
      </c>
      <c r="N988" s="1" t="s">
        <v>1414</v>
      </c>
    </row>
    <row r="989" spans="1:14" x14ac:dyDescent="0.25">
      <c r="A989" s="1" t="s">
        <v>998</v>
      </c>
      <c r="B989" s="1" t="s">
        <v>1266</v>
      </c>
      <c r="C989" s="1" t="s">
        <v>52</v>
      </c>
      <c r="D989">
        <v>778604</v>
      </c>
      <c r="E989">
        <v>80780</v>
      </c>
      <c r="F989">
        <v>85646</v>
      </c>
      <c r="G989">
        <v>15</v>
      </c>
      <c r="H989" s="4">
        <v>78.5</v>
      </c>
      <c r="I989" s="2">
        <v>0.6</v>
      </c>
      <c r="J989">
        <v>8</v>
      </c>
      <c r="K989">
        <v>1</v>
      </c>
      <c r="L989">
        <v>0</v>
      </c>
      <c r="M989" s="1" t="s">
        <v>1413</v>
      </c>
      <c r="N989" s="1" t="s">
        <v>1414</v>
      </c>
    </row>
    <row r="990" spans="1:14" x14ac:dyDescent="0.25">
      <c r="A990" s="1" t="s">
        <v>999</v>
      </c>
      <c r="B990" s="1" t="s">
        <v>1388</v>
      </c>
      <c r="C990" s="1" t="s">
        <v>23</v>
      </c>
      <c r="D990">
        <v>609577</v>
      </c>
      <c r="E990">
        <v>47856</v>
      </c>
      <c r="F990">
        <v>67053</v>
      </c>
      <c r="G990">
        <v>15</v>
      </c>
      <c r="H990" s="4">
        <v>101.99999999999999</v>
      </c>
      <c r="I990" s="2">
        <v>0.73333333333333295</v>
      </c>
      <c r="J990">
        <v>0</v>
      </c>
      <c r="K990">
        <v>0</v>
      </c>
      <c r="L990">
        <v>0</v>
      </c>
      <c r="M990" s="1" t="s">
        <v>1413</v>
      </c>
      <c r="N990" s="1" t="s">
        <v>1414</v>
      </c>
    </row>
    <row r="991" spans="1:14" x14ac:dyDescent="0.25">
      <c r="A991" s="1" t="s">
        <v>1000</v>
      </c>
      <c r="B991" s="1" t="s">
        <v>1244</v>
      </c>
      <c r="C991" s="1" t="s">
        <v>9</v>
      </c>
      <c r="D991">
        <v>817162</v>
      </c>
      <c r="E991">
        <v>82058</v>
      </c>
      <c r="F991">
        <v>89888</v>
      </c>
      <c r="G991">
        <v>15</v>
      </c>
      <c r="H991" s="4">
        <v>93.399999999999991</v>
      </c>
      <c r="I991" s="2">
        <v>0.6</v>
      </c>
      <c r="J991">
        <v>0</v>
      </c>
      <c r="K991">
        <v>0</v>
      </c>
      <c r="L991">
        <v>0</v>
      </c>
      <c r="M991" s="1" t="s">
        <v>1413</v>
      </c>
      <c r="N991" s="1" t="s">
        <v>1414</v>
      </c>
    </row>
    <row r="992" spans="1:14" x14ac:dyDescent="0.25">
      <c r="A992" s="1" t="s">
        <v>1001</v>
      </c>
      <c r="B992" s="1" t="s">
        <v>1180</v>
      </c>
      <c r="C992" s="1" t="s">
        <v>7</v>
      </c>
      <c r="D992">
        <v>333157</v>
      </c>
      <c r="E992">
        <v>42539</v>
      </c>
      <c r="F992">
        <v>36647</v>
      </c>
      <c r="G992">
        <v>15</v>
      </c>
      <c r="H992" s="4">
        <v>111.2</v>
      </c>
      <c r="I992" s="2">
        <v>0.86666666666666703</v>
      </c>
      <c r="J992">
        <v>0</v>
      </c>
      <c r="K992">
        <v>0</v>
      </c>
      <c r="L992">
        <v>0</v>
      </c>
      <c r="M992" s="1" t="s">
        <v>1413</v>
      </c>
      <c r="N992" s="1" t="s">
        <v>1414</v>
      </c>
    </row>
    <row r="993" spans="1:14" x14ac:dyDescent="0.25">
      <c r="A993" s="1" t="s">
        <v>1002</v>
      </c>
      <c r="B993" s="1" t="s">
        <v>1350</v>
      </c>
      <c r="C993" s="1" t="s">
        <v>12</v>
      </c>
      <c r="D993">
        <v>273147</v>
      </c>
      <c r="E993">
        <v>49136</v>
      </c>
      <c r="F993">
        <v>30046</v>
      </c>
      <c r="G993">
        <v>14</v>
      </c>
      <c r="H993" s="4">
        <v>77.399999999999991</v>
      </c>
      <c r="I993" s="2">
        <v>0.64285714285714302</v>
      </c>
      <c r="J993">
        <v>2</v>
      </c>
      <c r="K993">
        <v>1</v>
      </c>
      <c r="L993">
        <v>0</v>
      </c>
      <c r="M993" s="1" t="s">
        <v>1413</v>
      </c>
      <c r="N993" s="1" t="s">
        <v>1414</v>
      </c>
    </row>
    <row r="994" spans="1:14" x14ac:dyDescent="0.25">
      <c r="A994" s="1" t="s">
        <v>1003</v>
      </c>
      <c r="B994" s="1" t="s">
        <v>1150</v>
      </c>
      <c r="C994" s="1" t="s">
        <v>9</v>
      </c>
      <c r="D994">
        <v>497081</v>
      </c>
      <c r="E994">
        <v>9668</v>
      </c>
      <c r="F994">
        <v>54679</v>
      </c>
      <c r="G994">
        <v>15</v>
      </c>
      <c r="H994" s="4">
        <v>109.80000000000003</v>
      </c>
      <c r="I994" s="2">
        <v>0.86666666666666703</v>
      </c>
      <c r="J994">
        <v>0</v>
      </c>
      <c r="K994">
        <v>0</v>
      </c>
      <c r="L994">
        <v>0</v>
      </c>
      <c r="M994" s="1" t="s">
        <v>1413</v>
      </c>
      <c r="N994" s="1" t="s">
        <v>1414</v>
      </c>
    </row>
    <row r="995" spans="1:14" x14ac:dyDescent="0.25">
      <c r="A995" s="1" t="s">
        <v>1004</v>
      </c>
      <c r="B995" s="1" t="s">
        <v>1067</v>
      </c>
      <c r="C995" s="1" t="s">
        <v>52</v>
      </c>
      <c r="D995">
        <v>492660</v>
      </c>
      <c r="E995">
        <v>16444</v>
      </c>
      <c r="F995">
        <v>54193</v>
      </c>
      <c r="G995">
        <v>15</v>
      </c>
      <c r="H995" s="4">
        <v>107</v>
      </c>
      <c r="I995" s="2">
        <v>0.73333333333333295</v>
      </c>
      <c r="J995">
        <v>0</v>
      </c>
      <c r="K995">
        <v>0</v>
      </c>
      <c r="L995">
        <v>0</v>
      </c>
      <c r="M995" s="1" t="s">
        <v>1413</v>
      </c>
      <c r="N995" s="1" t="s">
        <v>1414</v>
      </c>
    </row>
    <row r="996" spans="1:14" x14ac:dyDescent="0.25">
      <c r="A996" s="1" t="s">
        <v>1005</v>
      </c>
      <c r="B996" s="1" t="s">
        <v>1334</v>
      </c>
      <c r="C996" s="1" t="s">
        <v>1117</v>
      </c>
      <c r="D996">
        <v>796182</v>
      </c>
      <c r="E996">
        <v>81004</v>
      </c>
      <c r="F996">
        <v>87580</v>
      </c>
      <c r="G996">
        <v>15</v>
      </c>
      <c r="H996" s="4">
        <v>121.89999999999999</v>
      </c>
      <c r="I996" s="2">
        <v>0.73333333333333295</v>
      </c>
      <c r="J996">
        <v>14</v>
      </c>
      <c r="K996">
        <v>1</v>
      </c>
      <c r="L996">
        <v>0</v>
      </c>
      <c r="M996" s="1" t="s">
        <v>1413</v>
      </c>
      <c r="N996" s="1" t="s">
        <v>1414</v>
      </c>
    </row>
    <row r="997" spans="1:14" x14ac:dyDescent="0.25">
      <c r="A997" s="1" t="s">
        <v>1006</v>
      </c>
      <c r="B997" s="1" t="s">
        <v>1226</v>
      </c>
      <c r="C997" s="1" t="s">
        <v>12</v>
      </c>
      <c r="D997">
        <v>835804</v>
      </c>
      <c r="E997">
        <v>57256</v>
      </c>
      <c r="F997">
        <v>91938</v>
      </c>
      <c r="G997">
        <v>15</v>
      </c>
      <c r="H997" s="4">
        <v>95.700000000000017</v>
      </c>
      <c r="I997" s="2">
        <v>0.8</v>
      </c>
      <c r="J997">
        <v>0</v>
      </c>
      <c r="K997">
        <v>0</v>
      </c>
      <c r="L997">
        <v>0</v>
      </c>
      <c r="M997" s="1" t="s">
        <v>1413</v>
      </c>
      <c r="N997" s="1" t="s">
        <v>1414</v>
      </c>
    </row>
    <row r="998" spans="1:14" x14ac:dyDescent="0.25">
      <c r="A998" s="1" t="s">
        <v>1007</v>
      </c>
      <c r="B998" s="1" t="s">
        <v>1038</v>
      </c>
      <c r="C998" s="1" t="s">
        <v>27</v>
      </c>
      <c r="D998">
        <v>720675</v>
      </c>
      <c r="E998">
        <v>34856</v>
      </c>
      <c r="F998">
        <v>79274</v>
      </c>
      <c r="G998">
        <v>15</v>
      </c>
      <c r="H998" s="4">
        <v>84.5</v>
      </c>
      <c r="I998" s="2">
        <v>0.53333333333333299</v>
      </c>
      <c r="J998">
        <v>0</v>
      </c>
      <c r="K998">
        <v>0</v>
      </c>
      <c r="L998">
        <v>0</v>
      </c>
      <c r="M998" s="1" t="s">
        <v>1413</v>
      </c>
      <c r="N998" s="1" t="s">
        <v>1414</v>
      </c>
    </row>
    <row r="999" spans="1:14" x14ac:dyDescent="0.25">
      <c r="A999" s="1" t="s">
        <v>1008</v>
      </c>
      <c r="B999" s="1" t="s">
        <v>1322</v>
      </c>
      <c r="C999" s="1" t="s">
        <v>1037</v>
      </c>
      <c r="D999">
        <v>560973</v>
      </c>
      <c r="E999">
        <v>3073</v>
      </c>
      <c r="F999">
        <v>61707</v>
      </c>
      <c r="G999">
        <v>15</v>
      </c>
      <c r="H999" s="4">
        <v>113.8</v>
      </c>
      <c r="I999" s="2">
        <v>0.73333333333333295</v>
      </c>
      <c r="J999">
        <v>14</v>
      </c>
      <c r="K999">
        <v>1</v>
      </c>
      <c r="L999">
        <v>0</v>
      </c>
      <c r="M999" s="1" t="s">
        <v>1413</v>
      </c>
      <c r="N999" s="1" t="s">
        <v>1414</v>
      </c>
    </row>
    <row r="1000" spans="1:14" x14ac:dyDescent="0.25">
      <c r="A1000" s="1" t="s">
        <v>1009</v>
      </c>
      <c r="B1000" s="1" t="s">
        <v>1083</v>
      </c>
      <c r="C1000" s="1" t="s">
        <v>5</v>
      </c>
      <c r="D1000">
        <v>708514</v>
      </c>
      <c r="E1000">
        <v>88613</v>
      </c>
      <c r="F1000">
        <v>77937</v>
      </c>
      <c r="G1000">
        <v>15</v>
      </c>
      <c r="H1000" s="4">
        <v>77</v>
      </c>
      <c r="I1000" s="2">
        <v>0.6</v>
      </c>
      <c r="J1000">
        <v>13</v>
      </c>
      <c r="K1000">
        <v>1</v>
      </c>
      <c r="L1000">
        <v>0</v>
      </c>
      <c r="M1000" s="1" t="s">
        <v>1413</v>
      </c>
      <c r="N1000" s="1" t="s">
        <v>1414</v>
      </c>
    </row>
    <row r="1001" spans="1:14" x14ac:dyDescent="0.25">
      <c r="A1001" s="1" t="s">
        <v>1010</v>
      </c>
      <c r="B1001" s="1" t="s">
        <v>1127</v>
      </c>
      <c r="C1001" s="1" t="s">
        <v>5</v>
      </c>
      <c r="D1001">
        <v>776688</v>
      </c>
      <c r="E1001">
        <v>72961</v>
      </c>
      <c r="F1001">
        <v>85436</v>
      </c>
      <c r="G1001">
        <v>14</v>
      </c>
      <c r="H1001" s="4">
        <v>104.2</v>
      </c>
      <c r="I1001" s="2">
        <v>0.71428571428571397</v>
      </c>
      <c r="J1001">
        <v>14</v>
      </c>
      <c r="K1001">
        <v>1</v>
      </c>
      <c r="L1001">
        <v>0</v>
      </c>
      <c r="M1001" s="1" t="s">
        <v>1413</v>
      </c>
      <c r="N1001" s="1" t="s">
        <v>1414</v>
      </c>
    </row>
    <row r="1002" spans="1:14" x14ac:dyDescent="0.25">
      <c r="A1002" s="1" t="s">
        <v>1406</v>
      </c>
      <c r="B1002" s="1" t="s">
        <v>1407</v>
      </c>
      <c r="C1002" s="1" t="s">
        <v>5</v>
      </c>
      <c r="D1002">
        <v>300000</v>
      </c>
      <c r="E1002">
        <v>0</v>
      </c>
      <c r="J1002">
        <v>0</v>
      </c>
      <c r="K1002">
        <v>0</v>
      </c>
      <c r="L1002">
        <v>0</v>
      </c>
      <c r="M1002" s="1" t="s">
        <v>1413</v>
      </c>
      <c r="N1002" s="1" t="s">
        <v>1414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D4CE-9B2E-4D6C-B6C2-EDA513571C90}">
  <dimension ref="A1:BC107"/>
  <sheetViews>
    <sheetView showGridLines="0" showRowColHeaders="0" tabSelected="1" topLeftCell="H1" zoomScale="30" zoomScaleNormal="30" workbookViewId="0">
      <selection activeCell="X27" sqref="X27"/>
    </sheetView>
  </sheetViews>
  <sheetFormatPr defaultRowHeight="15" x14ac:dyDescent="0.25"/>
  <cols>
    <col min="1" max="1" width="24.7109375" style="5" customWidth="1"/>
    <col min="2" max="8" width="14.85546875" style="5" customWidth="1"/>
    <col min="9" max="9" width="24.7109375" style="5" customWidth="1"/>
    <col min="10" max="12" width="14.85546875" style="5" customWidth="1"/>
    <col min="13" max="13" width="19" style="5" customWidth="1"/>
    <col min="14" max="17" width="14.85546875" style="5" customWidth="1"/>
    <col min="18" max="18" width="19" style="5" customWidth="1"/>
    <col min="19" max="19" width="17.140625" style="5" customWidth="1"/>
    <col min="20" max="20" width="14.85546875" style="5" customWidth="1"/>
    <col min="21" max="21" width="19" style="5" customWidth="1"/>
    <col min="22" max="22" width="17.140625" style="5" customWidth="1"/>
    <col min="23" max="23" width="9.140625" style="5"/>
    <col min="24" max="24" width="19" style="5" customWidth="1"/>
    <col min="25" max="25" width="17.140625" style="5" customWidth="1"/>
    <col min="26" max="26" width="9.140625" style="5"/>
    <col min="27" max="27" width="19" style="5" customWidth="1"/>
    <col min="28" max="28" width="17.140625" style="5" customWidth="1"/>
    <col min="29" max="16384" width="9.140625" style="5"/>
  </cols>
  <sheetData>
    <row r="1" spans="1:55" x14ac:dyDescent="0.25">
      <c r="A1" s="42"/>
      <c r="B1" s="42"/>
      <c r="C1" s="42"/>
      <c r="D1" s="42"/>
      <c r="E1" s="42"/>
      <c r="F1" s="42"/>
      <c r="G1" s="42"/>
      <c r="H1" s="42"/>
      <c r="I1" s="42"/>
      <c r="J1" s="42"/>
      <c r="K1" s="42"/>
      <c r="L1" s="42"/>
      <c r="M1" s="42"/>
      <c r="N1" s="42"/>
      <c r="O1" s="42"/>
      <c r="P1" s="42"/>
      <c r="Q1" s="42"/>
      <c r="R1" s="42"/>
      <c r="S1" s="42"/>
      <c r="T1" s="42"/>
      <c r="U1" s="42"/>
      <c r="V1" s="42"/>
      <c r="W1" s="42"/>
      <c r="BC1" s="18" t="s">
        <v>1452</v>
      </c>
    </row>
    <row r="2" spans="1:55" x14ac:dyDescent="0.25">
      <c r="A2" s="42"/>
      <c r="B2" s="42"/>
      <c r="C2" s="42"/>
      <c r="D2" s="42"/>
      <c r="E2" s="42"/>
      <c r="F2" s="42"/>
      <c r="G2" s="42"/>
      <c r="H2" s="42"/>
      <c r="I2" s="42"/>
      <c r="J2" s="42"/>
      <c r="K2" s="42"/>
      <c r="L2" s="42"/>
      <c r="M2" s="42"/>
      <c r="N2" s="42"/>
      <c r="O2" s="42"/>
      <c r="P2" s="42"/>
      <c r="Q2" s="42"/>
      <c r="R2" s="42"/>
      <c r="S2" s="42"/>
      <c r="T2" s="42"/>
      <c r="U2" s="42"/>
      <c r="V2" s="42"/>
      <c r="W2" s="42"/>
    </row>
    <row r="3" spans="1:55" x14ac:dyDescent="0.25">
      <c r="G3" s="14" t="s">
        <v>1428</v>
      </c>
      <c r="H3" s="14"/>
      <c r="I3" s="14"/>
      <c r="J3" s="14"/>
      <c r="K3" s="14"/>
      <c r="L3" s="14"/>
      <c r="M3" s="14"/>
      <c r="N3" s="14"/>
      <c r="O3" s="14"/>
      <c r="P3" s="14"/>
      <c r="Q3" s="14"/>
      <c r="R3" s="14"/>
      <c r="S3" s="14"/>
      <c r="T3" s="14"/>
    </row>
    <row r="4" spans="1:55" x14ac:dyDescent="0.25">
      <c r="G4" s="14"/>
      <c r="H4" s="14"/>
      <c r="I4" s="14"/>
      <c r="J4" s="14"/>
      <c r="K4" s="14"/>
      <c r="L4" s="14"/>
      <c r="M4" s="14"/>
      <c r="N4" s="14"/>
      <c r="O4" s="14"/>
      <c r="P4" s="14"/>
      <c r="Q4" s="14"/>
      <c r="R4" s="14"/>
      <c r="S4" s="14"/>
      <c r="T4" s="14"/>
    </row>
    <row r="5" spans="1:55" x14ac:dyDescent="0.25">
      <c r="G5" s="15" t="s">
        <v>1427</v>
      </c>
      <c r="H5" s="15"/>
      <c r="I5" s="15"/>
      <c r="J5" s="15"/>
      <c r="K5" s="15"/>
      <c r="L5" s="15"/>
      <c r="M5" s="15"/>
      <c r="N5" s="16">
        <f ca="1">NOW()</f>
        <v>46240.966231134262</v>
      </c>
      <c r="O5" s="16"/>
      <c r="P5" s="16"/>
      <c r="Q5" s="16"/>
      <c r="R5" s="16"/>
      <c r="S5" s="16"/>
      <c r="T5" s="16"/>
    </row>
    <row r="6" spans="1:55" x14ac:dyDescent="0.25">
      <c r="A6" s="42"/>
      <c r="B6" s="42"/>
      <c r="C6" s="42"/>
      <c r="D6" s="42"/>
      <c r="E6" s="42"/>
      <c r="F6" s="42"/>
      <c r="G6" s="43"/>
      <c r="H6" s="43"/>
      <c r="I6" s="43"/>
      <c r="J6" s="43"/>
      <c r="K6" s="43"/>
      <c r="L6" s="43"/>
      <c r="M6" s="43"/>
      <c r="N6" s="43"/>
      <c r="O6" s="43"/>
      <c r="P6" s="43"/>
      <c r="Q6" s="43"/>
      <c r="R6" s="43"/>
      <c r="S6" s="43"/>
      <c r="T6" s="43"/>
      <c r="U6" s="42"/>
      <c r="V6" s="42"/>
      <c r="W6" s="42"/>
      <c r="X6" s="42"/>
      <c r="Y6" s="42"/>
      <c r="Z6" s="42"/>
      <c r="AA6" s="42"/>
      <c r="AB6" s="42"/>
      <c r="AC6" s="42"/>
      <c r="AD6" s="42"/>
      <c r="AE6" s="42"/>
      <c r="AF6" s="42"/>
      <c r="AG6" s="42"/>
      <c r="AH6" s="42"/>
      <c r="AI6" s="42"/>
      <c r="AJ6" s="42"/>
    </row>
    <row r="7" spans="1:55" ht="15.75" x14ac:dyDescent="0.25">
      <c r="A7" s="20" t="str">
        <f ca="1">"WORKFORCE PULSE  —  "&amp;TEXT($A$11,"#,##0")&amp;" EMPLOYEES  ·  ₦"&amp;TEXT($E$11/1000000,"0.0")&amp;"M PAYROLL  ·  AS OF "&amp;TEXT(TODAY(),"D MMM YYYY")</f>
        <v>WORKFORCE PULSE  —  1,001 EMPLOYEES  ·  ₦531.6M PAYROLL  ·  AS OF 6 Aug 2026</v>
      </c>
      <c r="B7" s="20"/>
      <c r="C7" s="20"/>
      <c r="D7" s="20"/>
      <c r="E7" s="20"/>
      <c r="F7" s="20"/>
      <c r="G7" s="20"/>
      <c r="H7" s="20"/>
      <c r="I7" s="20"/>
      <c r="J7" s="20"/>
      <c r="K7" s="20"/>
      <c r="L7" s="20"/>
      <c r="M7" s="20"/>
      <c r="N7" s="20"/>
      <c r="O7" s="20"/>
      <c r="P7" s="20"/>
      <c r="Q7" s="20"/>
      <c r="R7" s="20"/>
      <c r="S7" s="20"/>
      <c r="T7" s="20"/>
      <c r="U7" s="42"/>
      <c r="V7" s="42"/>
      <c r="W7" s="42"/>
      <c r="X7" s="42"/>
      <c r="Y7" s="42"/>
      <c r="Z7" s="42"/>
      <c r="AA7" s="42"/>
      <c r="AB7" s="42"/>
      <c r="AC7" s="42"/>
      <c r="AD7" s="42"/>
      <c r="AE7" s="42"/>
      <c r="AF7" s="42"/>
      <c r="AG7" s="42"/>
      <c r="AH7" s="42"/>
      <c r="AI7" s="42"/>
      <c r="AJ7" s="42"/>
    </row>
    <row r="8" spans="1:55" x14ac:dyDescent="0.25">
      <c r="A8" s="22" t="s">
        <v>1429</v>
      </c>
      <c r="B8" s="65" t="s">
        <v>1430</v>
      </c>
      <c r="C8" s="65"/>
      <c r="D8" s="24">
        <v>0.85</v>
      </c>
      <c r="E8" s="23"/>
      <c r="F8" s="65" t="s">
        <v>1431</v>
      </c>
      <c r="G8" s="65"/>
      <c r="H8" s="17">
        <v>75</v>
      </c>
      <c r="I8" s="25"/>
      <c r="J8" s="25"/>
      <c r="K8" s="25"/>
      <c r="L8" s="25"/>
      <c r="M8" s="25"/>
      <c r="N8" s="25"/>
      <c r="O8" s="25"/>
      <c r="P8" s="25"/>
      <c r="Q8" s="25"/>
      <c r="R8" s="25"/>
      <c r="S8" s="25"/>
      <c r="T8" s="25"/>
      <c r="U8" s="42"/>
      <c r="V8" s="42"/>
      <c r="W8" s="42"/>
      <c r="X8" s="42"/>
      <c r="Y8" s="42"/>
      <c r="Z8" s="42"/>
      <c r="AA8" s="42"/>
      <c r="AB8" s="42"/>
      <c r="AC8" s="42"/>
      <c r="AD8" s="42"/>
      <c r="AE8" s="42"/>
      <c r="AF8" s="42"/>
      <c r="AG8" s="42"/>
      <c r="AH8" s="42"/>
      <c r="AI8" s="42"/>
      <c r="AJ8" s="42"/>
    </row>
    <row r="9" spans="1:55" x14ac:dyDescent="0.25">
      <c r="A9" s="42"/>
      <c r="B9" s="42"/>
      <c r="C9" s="42"/>
      <c r="D9" s="42"/>
      <c r="E9" s="42"/>
      <c r="F9" s="42"/>
      <c r="G9" s="43"/>
      <c r="H9" s="43"/>
      <c r="I9" s="43"/>
      <c r="J9" s="43"/>
      <c r="K9" s="43"/>
      <c r="L9" s="43"/>
      <c r="M9" s="43"/>
      <c r="N9" s="43"/>
      <c r="O9" s="43"/>
      <c r="P9" s="43"/>
      <c r="Q9" s="43"/>
      <c r="R9" s="43"/>
      <c r="S9" s="43"/>
      <c r="T9" s="43"/>
      <c r="U9" s="42"/>
      <c r="V9" s="42"/>
      <c r="W9" s="42"/>
      <c r="X9" s="42"/>
      <c r="Y9" s="42"/>
      <c r="Z9" s="42"/>
      <c r="AA9" s="42"/>
      <c r="AB9" s="42"/>
      <c r="AC9" s="42"/>
      <c r="AD9" s="42"/>
      <c r="AE9" s="42"/>
      <c r="AF9" s="42"/>
      <c r="AG9" s="42"/>
      <c r="AH9" s="42"/>
      <c r="AI9" s="42"/>
      <c r="AJ9" s="42"/>
    </row>
    <row r="10" spans="1:55" x14ac:dyDescent="0.25">
      <c r="A10" s="57" t="s">
        <v>1432</v>
      </c>
      <c r="B10" s="57"/>
      <c r="C10" s="57"/>
      <c r="D10" s="58"/>
      <c r="E10" s="57" t="s">
        <v>1433</v>
      </c>
      <c r="F10" s="57"/>
      <c r="G10" s="57"/>
      <c r="H10" s="58"/>
      <c r="I10" s="57" t="s">
        <v>1434</v>
      </c>
      <c r="J10" s="57"/>
      <c r="K10" s="57"/>
      <c r="L10" s="58"/>
      <c r="M10" s="57" t="s">
        <v>1435</v>
      </c>
      <c r="N10" s="57"/>
      <c r="O10" s="57"/>
      <c r="P10" s="58"/>
      <c r="Q10" s="57" t="s">
        <v>1436</v>
      </c>
      <c r="R10" s="57"/>
      <c r="S10" s="57"/>
      <c r="T10" s="57"/>
      <c r="U10" s="42"/>
      <c r="V10" s="42"/>
      <c r="W10" s="42"/>
      <c r="X10" s="42"/>
      <c r="Y10" s="42"/>
      <c r="Z10" s="42"/>
      <c r="AA10" s="42"/>
      <c r="AB10" s="42"/>
      <c r="AC10" s="42"/>
      <c r="AD10" s="42"/>
      <c r="AE10" s="42"/>
      <c r="AF10" s="42"/>
      <c r="AG10" s="42"/>
      <c r="AH10" s="42"/>
      <c r="AI10" s="42"/>
      <c r="AJ10" s="42"/>
    </row>
    <row r="11" spans="1:55" ht="23.25" x14ac:dyDescent="0.35">
      <c r="A11" s="34">
        <f>COUNTA(Employee_Master[EmployeeID])</f>
        <v>1001</v>
      </c>
      <c r="B11" s="34"/>
      <c r="C11" s="34"/>
      <c r="D11" s="37"/>
      <c r="E11" s="38">
        <f>SUM(Employee_Master[Salary (NGN)])</f>
        <v>531625996</v>
      </c>
      <c r="F11" s="38"/>
      <c r="G11" s="38"/>
      <c r="H11" s="41"/>
      <c r="I11" s="38">
        <f>SUM(Employee_Master[Bonus (NGN)])</f>
        <v>46110630</v>
      </c>
      <c r="J11" s="38"/>
      <c r="K11" s="38"/>
      <c r="L11" s="41"/>
      <c r="M11" s="38">
        <f>SUM(Employee_Master[PAYE Tax (NGN)])</f>
        <v>56212004</v>
      </c>
      <c r="N11" s="38"/>
      <c r="O11" s="38"/>
      <c r="P11" s="41"/>
      <c r="Q11" s="34">
        <f>SUM(Employee_Master[Total Leave Days])</f>
        <v>3869</v>
      </c>
      <c r="R11" s="34"/>
      <c r="S11" s="34"/>
      <c r="T11" s="34"/>
      <c r="U11" s="42"/>
      <c r="V11" s="42"/>
      <c r="W11" s="42"/>
      <c r="X11" s="42"/>
      <c r="Y11" s="42"/>
      <c r="Z11" s="42"/>
      <c r="AA11" s="42"/>
      <c r="AB11" s="42"/>
      <c r="AC11" s="42"/>
      <c r="AD11" s="42"/>
      <c r="AE11" s="42"/>
      <c r="AF11" s="42"/>
      <c r="AG11" s="42"/>
      <c r="AH11" s="42"/>
      <c r="AI11" s="42"/>
      <c r="AJ11" s="42"/>
    </row>
    <row r="12" spans="1:55" x14ac:dyDescent="0.25">
      <c r="A12" s="57" t="s">
        <v>1437</v>
      </c>
      <c r="B12" s="57"/>
      <c r="C12" s="57"/>
      <c r="D12" s="58"/>
      <c r="E12" s="57" t="s">
        <v>1438</v>
      </c>
      <c r="F12" s="57"/>
      <c r="G12" s="57"/>
      <c r="H12" s="58"/>
      <c r="I12" s="57" t="s">
        <v>1439</v>
      </c>
      <c r="J12" s="57"/>
      <c r="K12" s="57"/>
      <c r="L12" s="58"/>
      <c r="M12" s="57" t="s">
        <v>1440</v>
      </c>
      <c r="N12" s="57"/>
      <c r="O12" s="57"/>
      <c r="P12" s="58"/>
      <c r="Q12" s="57" t="s">
        <v>1441</v>
      </c>
      <c r="R12" s="57"/>
      <c r="S12" s="57"/>
      <c r="T12" s="57"/>
      <c r="U12" s="42"/>
      <c r="V12" s="42"/>
      <c r="W12" s="42"/>
      <c r="X12" s="42"/>
      <c r="Y12" s="42"/>
      <c r="Z12" s="42"/>
      <c r="AA12" s="42"/>
      <c r="AB12" s="42"/>
      <c r="AC12" s="42"/>
      <c r="AD12" s="42"/>
      <c r="AE12" s="42"/>
      <c r="AF12" s="42"/>
      <c r="AG12" s="42"/>
      <c r="AH12" s="42"/>
      <c r="AI12" s="42"/>
      <c r="AJ12" s="42"/>
    </row>
    <row r="13" spans="1:55" ht="23.25" x14ac:dyDescent="0.35">
      <c r="A13" s="36">
        <f>AVERAGE(Employee_Master[Attendance Rate])</f>
        <v>0.74450036630036687</v>
      </c>
      <c r="B13" s="36"/>
      <c r="C13" s="36"/>
      <c r="D13" s="35"/>
      <c r="E13" s="40">
        <f>AVERAGEIFS(Employee_Master[Performance Score],Employee_Master[Rating],"&lt;&gt;Not Reviewed")</f>
        <v>77.291428571428568</v>
      </c>
      <c r="F13" s="40"/>
      <c r="G13" s="40"/>
      <c r="H13" s="39"/>
      <c r="I13" s="33">
        <f>COUNTIFS(Employee_Master[Rating],"Not Reviewed")</f>
        <v>301</v>
      </c>
      <c r="J13" s="33"/>
      <c r="K13" s="33"/>
      <c r="L13" s="32"/>
      <c r="M13" s="33">
        <f>COUNTIFS(Employee_Master[Manager],"Not Assigned")</f>
        <v>464</v>
      </c>
      <c r="N13" s="33"/>
      <c r="O13" s="33"/>
      <c r="P13" s="32"/>
      <c r="Q13" s="33">
        <f>COUNTIFS(Employee_Master[Department],"NA")</f>
        <v>27</v>
      </c>
      <c r="R13" s="33"/>
      <c r="S13" s="33"/>
      <c r="T13" s="33"/>
      <c r="U13" s="42"/>
      <c r="V13" s="42"/>
      <c r="W13" s="42"/>
      <c r="X13" s="42"/>
      <c r="Y13" s="42"/>
      <c r="Z13" s="42"/>
      <c r="AA13" s="42"/>
      <c r="AB13" s="42"/>
      <c r="AC13" s="42"/>
      <c r="AD13" s="42"/>
      <c r="AE13" s="42"/>
      <c r="AF13" s="42"/>
      <c r="AG13" s="42"/>
      <c r="AH13" s="42"/>
      <c r="AI13" s="42"/>
      <c r="AJ13" s="42"/>
    </row>
    <row r="14" spans="1:55" x14ac:dyDescent="0.25">
      <c r="A14" s="59">
        <f>A13-$D$8</f>
        <v>-0.10549963369963311</v>
      </c>
      <c r="B14" s="59"/>
      <c r="C14" s="59"/>
      <c r="D14" s="60"/>
      <c r="E14" s="61">
        <f>E13-$H$8</f>
        <v>2.2914285714285683</v>
      </c>
      <c r="F14" s="61"/>
      <c r="G14" s="61"/>
      <c r="H14" s="62"/>
      <c r="I14" s="63">
        <f>I13/$A$11</f>
        <v>0.30069930069930068</v>
      </c>
      <c r="J14" s="63"/>
      <c r="K14" s="63"/>
      <c r="L14" s="64"/>
      <c r="M14" s="63">
        <f>M13/$A$11</f>
        <v>0.46353646353646355</v>
      </c>
      <c r="N14" s="63"/>
      <c r="O14" s="63"/>
      <c r="P14" s="64"/>
      <c r="Q14" s="63">
        <f>Q13/$A$11</f>
        <v>2.6973026973026972E-2</v>
      </c>
      <c r="R14" s="63"/>
      <c r="S14" s="63"/>
      <c r="T14" s="63"/>
      <c r="U14" s="42"/>
      <c r="V14" s="42"/>
      <c r="W14" s="42"/>
      <c r="X14" s="42"/>
      <c r="Y14" s="42"/>
      <c r="Z14" s="42"/>
      <c r="AA14" s="42"/>
      <c r="AB14" s="42"/>
      <c r="AC14" s="42"/>
      <c r="AD14" s="42"/>
      <c r="AE14" s="42"/>
      <c r="AF14" s="42"/>
      <c r="AG14" s="42"/>
      <c r="AH14" s="42"/>
      <c r="AI14" s="42"/>
      <c r="AJ14" s="42"/>
    </row>
    <row r="15" spans="1:55" ht="15.75" x14ac:dyDescent="0.25">
      <c r="A15" s="21" t="str">
        <f>"WORKFORCE BREAKDOWN  —  "&amp;INDEX($A$67:$A$77,MATCH(MAX($B$67:$B$77),$B$67:$B$77,0))&amp;" LEADS HEADCOUNT AT "&amp;TEXT(MAX($B$67:$B$77),"#,##0")&amp;" OF "&amp;TEXT($A$11,"#,##0")&amp;" EMPLOYEES"</f>
        <v>WORKFORCE BREAKDOWN  —  Marketing LEADS HEADCOUNT AT 114 OF 1,001 EMPLOYEES</v>
      </c>
      <c r="B15" s="21"/>
      <c r="C15" s="21"/>
      <c r="D15" s="21"/>
      <c r="E15" s="21"/>
      <c r="F15" s="21"/>
      <c r="G15" s="21"/>
      <c r="H15" s="21"/>
      <c r="I15" s="21"/>
      <c r="J15" s="21"/>
      <c r="K15" s="21"/>
      <c r="L15" s="21"/>
      <c r="M15" s="21"/>
      <c r="N15" s="21"/>
      <c r="O15" s="21"/>
      <c r="P15" s="21"/>
      <c r="Q15" s="21"/>
      <c r="R15" s="21"/>
      <c r="S15" s="21"/>
      <c r="T15" s="21"/>
      <c r="U15" s="21"/>
      <c r="V15" s="21"/>
      <c r="W15" s="21"/>
      <c r="X15" s="42"/>
      <c r="Y15" s="42"/>
      <c r="Z15" s="42"/>
      <c r="AA15" s="42"/>
      <c r="AB15" s="42"/>
      <c r="AC15" s="42"/>
      <c r="AD15" s="42"/>
      <c r="AE15" s="42"/>
      <c r="AF15" s="42"/>
      <c r="AG15" s="42"/>
      <c r="AH15" s="42"/>
      <c r="AI15" s="42"/>
      <c r="AJ15" s="42"/>
    </row>
    <row r="16" spans="1:55" x14ac:dyDescent="0.25">
      <c r="A16" s="68" t="str">
        <f>"👥  HEADCOUNT BY DEPARTMENT  —  "&amp;TEXT($A$11,"#,##0")&amp;" employees across "&amp;COUNTA($A$67:$A$77)&amp;" departments"</f>
        <v>👥  HEADCOUNT BY DEPARTMENT  —  1,001 employees across 11 departments</v>
      </c>
      <c r="B16" s="68"/>
      <c r="C16" s="68"/>
      <c r="D16" s="68"/>
      <c r="E16" s="68"/>
      <c r="F16" s="68"/>
      <c r="G16" s="68"/>
      <c r="H16" s="68"/>
      <c r="I16" s="68"/>
      <c r="J16" s="68"/>
      <c r="K16" s="68"/>
      <c r="L16" s="43"/>
      <c r="M16" s="68" t="str">
        <f>"💰  AVG SALARY BY DEPARTMENT  —  "&amp;INDEX($A$67:$A$77,MATCH(MAX($D$67:$D$77),$D$67:$D$77,0))&amp;" pays highest at ₦"&amp;TEXT(MAX($D$67:$D$77),"#,##0")</f>
        <v>💰  AVG SALARY BY DEPARTMENT  —  I.T pays highest at ₦556,706</v>
      </c>
      <c r="N16" s="68"/>
      <c r="O16" s="68"/>
      <c r="P16" s="68"/>
      <c r="Q16" s="68"/>
      <c r="R16" s="68"/>
      <c r="S16" s="68"/>
      <c r="T16" s="68"/>
      <c r="U16" s="68"/>
      <c r="V16" s="68"/>
      <c r="W16" s="68"/>
      <c r="X16" s="42"/>
      <c r="Y16" s="42"/>
      <c r="Z16" s="42"/>
      <c r="AA16" s="42"/>
      <c r="AB16" s="42"/>
      <c r="AC16" s="42"/>
      <c r="AD16" s="42"/>
      <c r="AE16" s="42"/>
      <c r="AF16" s="42"/>
      <c r="AG16" s="42"/>
      <c r="AH16" s="42"/>
      <c r="AI16" s="42"/>
      <c r="AJ16" s="42"/>
      <c r="AK16" s="42"/>
    </row>
    <row r="17" spans="1:37" x14ac:dyDescent="0.25">
      <c r="A17" s="42"/>
      <c r="B17" s="42"/>
      <c r="C17" s="42"/>
      <c r="D17" s="42"/>
      <c r="E17" s="42"/>
      <c r="F17" s="42"/>
      <c r="G17" s="43"/>
      <c r="H17" s="43"/>
      <c r="I17" s="43"/>
      <c r="J17" s="43"/>
      <c r="K17" s="43"/>
      <c r="L17" s="43"/>
      <c r="M17" s="43"/>
      <c r="N17" s="43"/>
      <c r="O17" s="43"/>
      <c r="P17" s="43"/>
      <c r="Q17" s="43"/>
      <c r="R17" s="43"/>
      <c r="S17" s="43"/>
      <c r="T17" s="43"/>
      <c r="U17" s="42"/>
      <c r="V17" s="42"/>
      <c r="W17" s="42"/>
      <c r="X17" s="42"/>
      <c r="Y17" s="42"/>
      <c r="Z17" s="42"/>
      <c r="AA17" s="42"/>
      <c r="AB17" s="42"/>
      <c r="AC17" s="42"/>
      <c r="AD17" s="42"/>
      <c r="AE17" s="42"/>
      <c r="AF17" s="42"/>
      <c r="AG17" s="42"/>
      <c r="AH17" s="42"/>
      <c r="AI17" s="42"/>
      <c r="AJ17" s="42"/>
      <c r="AK17" s="42"/>
    </row>
    <row r="18" spans="1:37" x14ac:dyDescent="0.25">
      <c r="A18" s="42"/>
      <c r="B18" s="42"/>
      <c r="C18" s="42"/>
      <c r="D18" s="42"/>
      <c r="E18" s="42"/>
      <c r="F18" s="42"/>
      <c r="G18" s="43"/>
      <c r="H18" s="43"/>
      <c r="I18" s="43"/>
      <c r="J18" s="43"/>
      <c r="K18" s="43"/>
      <c r="L18" s="43"/>
      <c r="M18" s="43"/>
      <c r="N18" s="43"/>
      <c r="O18" s="43"/>
      <c r="P18" s="43"/>
      <c r="Q18" s="43"/>
      <c r="R18" s="43"/>
      <c r="S18" s="43"/>
      <c r="T18" s="43"/>
      <c r="U18" s="42"/>
      <c r="V18" s="42"/>
      <c r="W18" s="42"/>
      <c r="X18" s="42"/>
      <c r="Y18" s="42"/>
      <c r="Z18" s="42"/>
      <c r="AA18" s="42"/>
      <c r="AB18" s="42"/>
      <c r="AC18" s="42"/>
      <c r="AD18" s="42"/>
      <c r="AE18" s="42"/>
      <c r="AF18" s="42"/>
      <c r="AG18" s="42"/>
      <c r="AH18" s="42"/>
      <c r="AI18" s="42"/>
      <c r="AJ18" s="42"/>
      <c r="AK18" s="42"/>
    </row>
    <row r="19" spans="1:37" x14ac:dyDescent="0.25">
      <c r="A19" s="42"/>
      <c r="B19" s="42"/>
      <c r="C19" s="42"/>
      <c r="D19" s="42"/>
      <c r="E19" s="42"/>
      <c r="F19" s="42"/>
      <c r="G19" s="43"/>
      <c r="H19" s="43"/>
      <c r="I19" s="43"/>
      <c r="J19" s="43"/>
      <c r="K19" s="43"/>
      <c r="L19" s="43"/>
      <c r="M19" s="43"/>
      <c r="N19" s="43"/>
      <c r="O19" s="43"/>
      <c r="P19" s="43"/>
      <c r="Q19" s="43"/>
      <c r="R19" s="43"/>
      <c r="S19" s="43"/>
      <c r="T19" s="43"/>
      <c r="U19" s="42"/>
      <c r="V19" s="42"/>
      <c r="W19" s="42"/>
      <c r="X19" s="42"/>
      <c r="Y19" s="42"/>
      <c r="Z19" s="42"/>
      <c r="AA19" s="42"/>
      <c r="AB19" s="42"/>
      <c r="AC19" s="42"/>
      <c r="AD19" s="42"/>
      <c r="AE19" s="42"/>
      <c r="AF19" s="42"/>
      <c r="AG19" s="42"/>
      <c r="AH19" s="42"/>
      <c r="AI19" s="42"/>
      <c r="AJ19" s="42"/>
      <c r="AK19" s="42"/>
    </row>
    <row r="20" spans="1:37" x14ac:dyDescent="0.25">
      <c r="A20" s="42"/>
      <c r="B20" s="42"/>
      <c r="C20" s="42"/>
      <c r="D20" s="42"/>
      <c r="E20" s="42"/>
      <c r="F20" s="42"/>
      <c r="G20" s="43"/>
      <c r="H20" s="43"/>
      <c r="I20" s="43"/>
      <c r="J20" s="43"/>
      <c r="K20" s="43"/>
      <c r="L20" s="43"/>
      <c r="M20" s="43"/>
      <c r="N20" s="43"/>
      <c r="O20" s="43"/>
      <c r="P20" s="43"/>
      <c r="Q20" s="43"/>
      <c r="R20" s="43"/>
      <c r="S20" s="43"/>
      <c r="T20" s="43"/>
      <c r="U20" s="42"/>
      <c r="V20" s="42"/>
      <c r="W20" s="42"/>
      <c r="X20" s="42"/>
      <c r="Y20" s="42"/>
      <c r="Z20" s="42"/>
      <c r="AA20" s="42"/>
      <c r="AB20" s="42"/>
      <c r="AC20" s="42"/>
      <c r="AD20" s="42"/>
      <c r="AE20" s="42"/>
      <c r="AF20" s="42"/>
      <c r="AG20" s="42"/>
      <c r="AH20" s="42"/>
      <c r="AI20" s="42"/>
      <c r="AJ20" s="42"/>
      <c r="AK20" s="42"/>
    </row>
    <row r="21" spans="1:37" x14ac:dyDescent="0.25">
      <c r="A21" s="42"/>
      <c r="B21" s="42"/>
      <c r="C21" s="42"/>
      <c r="D21" s="42"/>
      <c r="E21" s="42"/>
      <c r="F21" s="42"/>
      <c r="G21" s="43"/>
      <c r="H21" s="43"/>
      <c r="I21" s="43"/>
      <c r="J21" s="43"/>
      <c r="K21" s="43"/>
      <c r="L21" s="43"/>
      <c r="M21" s="43"/>
      <c r="N21" s="43"/>
      <c r="O21" s="43"/>
      <c r="P21" s="43"/>
      <c r="Q21" s="43"/>
      <c r="R21" s="43"/>
      <c r="S21" s="43"/>
      <c r="T21" s="43"/>
      <c r="U21" s="42"/>
      <c r="V21" s="42"/>
      <c r="W21" s="42"/>
      <c r="X21" s="42"/>
      <c r="Y21" s="42"/>
      <c r="Z21" s="42"/>
      <c r="AA21" s="42"/>
      <c r="AB21" s="42"/>
      <c r="AC21" s="42"/>
      <c r="AD21" s="42"/>
      <c r="AE21" s="42"/>
      <c r="AF21" s="42"/>
      <c r="AG21" s="42"/>
      <c r="AH21" s="42"/>
      <c r="AI21" s="42"/>
      <c r="AJ21" s="42"/>
      <c r="AK21" s="42"/>
    </row>
    <row r="22" spans="1:37" x14ac:dyDescent="0.25">
      <c r="A22" s="42"/>
      <c r="B22" s="42"/>
      <c r="C22" s="42"/>
      <c r="D22" s="42"/>
      <c r="E22" s="42"/>
      <c r="F22" s="42"/>
      <c r="G22" s="43"/>
      <c r="H22" s="43"/>
      <c r="I22" s="43"/>
      <c r="J22" s="43"/>
      <c r="K22" s="43"/>
      <c r="L22" s="43"/>
      <c r="M22" s="43"/>
      <c r="N22" s="43"/>
      <c r="O22" s="43"/>
      <c r="P22" s="43"/>
      <c r="Q22" s="43"/>
      <c r="R22" s="43"/>
      <c r="S22" s="43"/>
      <c r="T22" s="43"/>
      <c r="U22" s="42"/>
      <c r="V22" s="42"/>
      <c r="W22" s="42"/>
      <c r="X22" s="42"/>
      <c r="Y22" s="42"/>
      <c r="Z22" s="42"/>
      <c r="AA22" s="42"/>
      <c r="AB22" s="42"/>
      <c r="AC22" s="42"/>
      <c r="AD22" s="42"/>
      <c r="AE22" s="42"/>
      <c r="AF22" s="42"/>
      <c r="AG22" s="42"/>
      <c r="AH22" s="42"/>
      <c r="AI22" s="42"/>
      <c r="AJ22" s="42"/>
      <c r="AK22" s="42"/>
    </row>
    <row r="23" spans="1:37" x14ac:dyDescent="0.25">
      <c r="A23" s="42"/>
      <c r="B23" s="42"/>
      <c r="C23" s="42"/>
      <c r="D23" s="42"/>
      <c r="E23" s="42"/>
      <c r="F23" s="42"/>
      <c r="G23" s="43"/>
      <c r="H23" s="43"/>
      <c r="I23" s="43"/>
      <c r="J23" s="43"/>
      <c r="K23" s="43"/>
      <c r="L23" s="43"/>
      <c r="M23" s="43"/>
      <c r="N23" s="43"/>
      <c r="O23" s="43"/>
      <c r="P23" s="43"/>
      <c r="Q23" s="43"/>
      <c r="R23" s="43"/>
      <c r="S23" s="43"/>
      <c r="T23" s="43"/>
      <c r="U23" s="42"/>
      <c r="V23" s="42"/>
      <c r="W23" s="42"/>
      <c r="X23" s="42"/>
      <c r="Y23" s="42"/>
      <c r="Z23" s="42"/>
      <c r="AA23" s="42"/>
      <c r="AB23" s="42"/>
      <c r="AC23" s="42"/>
      <c r="AD23" s="42"/>
      <c r="AE23" s="42"/>
      <c r="AF23" s="42"/>
      <c r="AG23" s="42"/>
      <c r="AH23" s="42"/>
      <c r="AI23" s="42"/>
      <c r="AJ23" s="42"/>
      <c r="AK23" s="42"/>
    </row>
    <row r="24" spans="1:37" x14ac:dyDescent="0.25">
      <c r="A24" s="42"/>
      <c r="B24" s="42"/>
      <c r="C24" s="42"/>
      <c r="D24" s="42"/>
      <c r="E24" s="42"/>
      <c r="F24" s="42"/>
      <c r="G24" s="43"/>
      <c r="H24" s="43"/>
      <c r="I24" s="43"/>
      <c r="J24" s="43"/>
      <c r="K24" s="43"/>
      <c r="L24" s="43"/>
      <c r="M24" s="43"/>
      <c r="N24" s="43"/>
      <c r="O24" s="43"/>
      <c r="P24" s="43"/>
      <c r="Q24" s="43"/>
      <c r="R24" s="43"/>
      <c r="S24" s="43"/>
      <c r="T24" s="43"/>
      <c r="U24" s="42"/>
      <c r="V24" s="42"/>
      <c r="W24" s="42"/>
      <c r="X24" s="42"/>
      <c r="Y24" s="42"/>
      <c r="Z24" s="42"/>
      <c r="AA24" s="42"/>
      <c r="AB24" s="42"/>
      <c r="AC24" s="42"/>
      <c r="AD24" s="42"/>
      <c r="AE24" s="42"/>
      <c r="AF24" s="42"/>
      <c r="AG24" s="42"/>
      <c r="AH24" s="42"/>
      <c r="AI24" s="42"/>
      <c r="AJ24" s="42"/>
      <c r="AK24" s="42"/>
    </row>
    <row r="25" spans="1:37" x14ac:dyDescent="0.25">
      <c r="A25" s="42"/>
      <c r="B25" s="42"/>
      <c r="C25" s="42"/>
      <c r="D25" s="42"/>
      <c r="E25" s="42"/>
      <c r="F25" s="42"/>
      <c r="G25" s="43"/>
      <c r="H25" s="43"/>
      <c r="I25" s="43"/>
      <c r="J25" s="43"/>
      <c r="K25" s="43"/>
      <c r="L25" s="43"/>
      <c r="M25" s="43"/>
      <c r="N25" s="43"/>
      <c r="O25" s="43"/>
      <c r="P25" s="43"/>
      <c r="Q25" s="43"/>
      <c r="R25" s="43"/>
      <c r="S25" s="43"/>
      <c r="T25" s="43"/>
      <c r="U25" s="42"/>
      <c r="V25" s="42"/>
      <c r="W25" s="42"/>
      <c r="X25" s="42"/>
      <c r="Y25" s="42"/>
      <c r="Z25" s="42"/>
      <c r="AA25" s="42"/>
      <c r="AB25" s="42"/>
      <c r="AC25" s="42"/>
      <c r="AD25" s="42"/>
      <c r="AE25" s="42"/>
      <c r="AF25" s="42"/>
      <c r="AG25" s="42"/>
      <c r="AH25" s="42"/>
      <c r="AI25" s="42"/>
      <c r="AJ25" s="42"/>
      <c r="AK25" s="42"/>
    </row>
    <row r="26" spans="1:37" x14ac:dyDescent="0.25">
      <c r="A26" s="42"/>
      <c r="B26" s="42"/>
      <c r="C26" s="42"/>
      <c r="D26" s="42"/>
      <c r="E26" s="42"/>
      <c r="F26" s="42"/>
      <c r="G26" s="43"/>
      <c r="H26" s="43"/>
      <c r="I26" s="43"/>
      <c r="J26" s="43"/>
      <c r="K26" s="43"/>
      <c r="L26" s="43"/>
      <c r="M26" s="43"/>
      <c r="N26" s="43"/>
      <c r="O26" s="43"/>
      <c r="P26" s="43"/>
      <c r="Q26" s="43"/>
      <c r="R26" s="43"/>
      <c r="S26" s="43"/>
      <c r="T26" s="43"/>
      <c r="U26" s="42"/>
      <c r="V26" s="42"/>
      <c r="W26" s="42"/>
      <c r="X26" s="42"/>
      <c r="Y26" s="42"/>
      <c r="Z26" s="42"/>
      <c r="AA26" s="42"/>
      <c r="AB26" s="42"/>
      <c r="AC26" s="42"/>
      <c r="AD26" s="42"/>
      <c r="AE26" s="42"/>
      <c r="AF26" s="42"/>
      <c r="AG26" s="42"/>
      <c r="AH26" s="42"/>
      <c r="AI26" s="42"/>
      <c r="AJ26" s="42"/>
      <c r="AK26" s="42"/>
    </row>
    <row r="27" spans="1:37" x14ac:dyDescent="0.25">
      <c r="A27" s="42"/>
      <c r="B27" s="42"/>
      <c r="C27" s="42"/>
      <c r="D27" s="42"/>
      <c r="E27" s="42"/>
      <c r="F27" s="42"/>
      <c r="G27" s="43"/>
      <c r="H27" s="43"/>
      <c r="I27" s="43"/>
      <c r="J27" s="43"/>
      <c r="K27" s="43"/>
      <c r="L27" s="43"/>
      <c r="M27" s="43"/>
      <c r="N27" s="43"/>
      <c r="O27" s="43"/>
      <c r="P27" s="43"/>
      <c r="Q27" s="43"/>
      <c r="R27" s="43"/>
      <c r="S27" s="43"/>
      <c r="T27" s="43"/>
      <c r="U27" s="42"/>
      <c r="V27" s="42"/>
      <c r="W27" s="42"/>
      <c r="X27" s="42"/>
      <c r="Y27" s="42"/>
      <c r="Z27" s="42"/>
      <c r="AA27" s="42"/>
      <c r="AB27" s="42"/>
      <c r="AC27" s="42"/>
      <c r="AD27" s="42"/>
      <c r="AE27" s="42"/>
      <c r="AF27" s="42"/>
      <c r="AG27" s="42"/>
      <c r="AH27" s="42"/>
      <c r="AI27" s="42"/>
      <c r="AJ27" s="42"/>
      <c r="AK27" s="42"/>
    </row>
    <row r="28" spans="1:37" x14ac:dyDescent="0.25">
      <c r="A28" s="42"/>
      <c r="B28" s="42"/>
      <c r="C28" s="42"/>
      <c r="D28" s="42"/>
      <c r="E28" s="42"/>
      <c r="F28" s="42"/>
      <c r="G28" s="43"/>
      <c r="H28" s="43"/>
      <c r="I28" s="43"/>
      <c r="J28" s="43"/>
      <c r="K28" s="43"/>
      <c r="L28" s="43"/>
      <c r="M28" s="43"/>
      <c r="N28" s="43"/>
      <c r="O28" s="43"/>
      <c r="P28" s="43"/>
      <c r="Q28" s="43"/>
      <c r="R28" s="43"/>
      <c r="S28" s="43"/>
      <c r="T28" s="43"/>
      <c r="U28" s="42"/>
      <c r="V28" s="42"/>
      <c r="W28" s="42"/>
      <c r="X28" s="42"/>
      <c r="Y28" s="42"/>
      <c r="Z28" s="42"/>
      <c r="AA28" s="42"/>
      <c r="AB28" s="42"/>
      <c r="AC28" s="42"/>
      <c r="AD28" s="42"/>
      <c r="AE28" s="42"/>
      <c r="AF28" s="42"/>
      <c r="AG28" s="42"/>
      <c r="AH28" s="42"/>
      <c r="AI28" s="42"/>
      <c r="AJ28" s="42"/>
      <c r="AK28" s="42"/>
    </row>
    <row r="29" spans="1:37" x14ac:dyDescent="0.25">
      <c r="A29" s="42"/>
      <c r="B29" s="42"/>
      <c r="C29" s="42"/>
      <c r="D29" s="42"/>
      <c r="E29" s="42"/>
      <c r="F29" s="42"/>
      <c r="G29" s="43"/>
      <c r="H29" s="43"/>
      <c r="I29" s="43"/>
      <c r="J29" s="43"/>
      <c r="K29" s="43"/>
      <c r="L29" s="43"/>
      <c r="M29" s="43"/>
      <c r="N29" s="43"/>
      <c r="O29" s="43"/>
      <c r="P29" s="43"/>
      <c r="Q29" s="43"/>
      <c r="R29" s="43"/>
      <c r="S29" s="43"/>
      <c r="T29" s="43"/>
      <c r="U29" s="42"/>
      <c r="V29" s="42"/>
      <c r="W29" s="42"/>
      <c r="X29" s="42"/>
      <c r="Y29" s="42"/>
      <c r="Z29" s="42"/>
      <c r="AA29" s="42"/>
      <c r="AB29" s="42"/>
      <c r="AC29" s="42"/>
      <c r="AD29" s="42"/>
      <c r="AE29" s="42"/>
      <c r="AF29" s="42"/>
      <c r="AG29" s="42"/>
      <c r="AH29" s="42"/>
      <c r="AI29" s="42"/>
      <c r="AJ29" s="42"/>
      <c r="AK29" s="42"/>
    </row>
    <row r="30" spans="1:37" x14ac:dyDescent="0.25">
      <c r="A30" s="42"/>
      <c r="B30" s="42"/>
      <c r="C30" s="42"/>
      <c r="D30" s="42"/>
      <c r="E30" s="42"/>
      <c r="F30" s="42"/>
      <c r="G30" s="43"/>
      <c r="H30" s="43"/>
      <c r="I30" s="43"/>
      <c r="J30" s="43"/>
      <c r="K30" s="43"/>
      <c r="L30" s="43"/>
      <c r="M30" s="43"/>
      <c r="N30" s="43"/>
      <c r="O30" s="43"/>
      <c r="P30" s="43"/>
      <c r="Q30" s="43"/>
      <c r="R30" s="43"/>
      <c r="S30" s="43"/>
      <c r="T30" s="43"/>
      <c r="U30" s="42"/>
      <c r="V30" s="42"/>
      <c r="W30" s="42"/>
      <c r="X30" s="42"/>
      <c r="Y30" s="42"/>
      <c r="Z30" s="42"/>
      <c r="AA30" s="42"/>
      <c r="AB30" s="42"/>
      <c r="AC30" s="42"/>
      <c r="AD30" s="42"/>
      <c r="AE30" s="42"/>
      <c r="AF30" s="42"/>
      <c r="AG30" s="42"/>
      <c r="AH30" s="42"/>
      <c r="AI30" s="42"/>
      <c r="AJ30" s="42"/>
      <c r="AK30" s="42"/>
    </row>
    <row r="31" spans="1:37" x14ac:dyDescent="0.25">
      <c r="A31" s="69" t="str">
        <f>"⭐  PERFORMANCE MIX  —  "&amp;TEXT($K$67,"0.0%")&amp;" not yet reviewed, "&amp;TEXT($K$69+$K$70+$K$71,"0.0%")&amp;" meeting or exceeding expectations"</f>
        <v>⭐  PERFORMANCE MIX  —  30.1% not yet reviewed, 47.0% meeting or exceeding expectations</v>
      </c>
      <c r="B31" s="69"/>
      <c r="C31" s="69"/>
      <c r="D31" s="69"/>
      <c r="E31" s="69"/>
      <c r="F31" s="69"/>
      <c r="G31" s="69"/>
      <c r="H31" s="69"/>
      <c r="I31" s="69"/>
      <c r="J31" s="69"/>
      <c r="K31" s="69"/>
      <c r="L31" s="69"/>
      <c r="M31" s="69"/>
      <c r="N31" s="69"/>
      <c r="O31" s="69"/>
      <c r="P31" s="69"/>
      <c r="Q31" s="69"/>
      <c r="R31" s="69"/>
      <c r="S31" s="69"/>
      <c r="T31" s="69"/>
      <c r="U31" s="69"/>
      <c r="V31" s="69"/>
      <c r="W31" s="69"/>
      <c r="X31" s="42"/>
      <c r="Y31" s="42"/>
      <c r="Z31" s="42"/>
      <c r="AA31" s="42"/>
      <c r="AB31" s="42"/>
      <c r="AC31" s="42"/>
      <c r="AD31" s="42"/>
      <c r="AE31" s="42"/>
      <c r="AF31" s="42"/>
      <c r="AG31" s="42"/>
      <c r="AH31" s="42"/>
      <c r="AI31" s="42"/>
      <c r="AJ31" s="42"/>
      <c r="AK31" s="42"/>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42"/>
      <c r="Y32" s="42"/>
      <c r="Z32" s="42"/>
      <c r="AA32" s="42"/>
      <c r="AB32" s="42"/>
      <c r="AC32" s="42"/>
      <c r="AD32" s="42"/>
      <c r="AE32" s="42"/>
      <c r="AF32" s="42"/>
      <c r="AG32" s="42"/>
      <c r="AH32" s="42"/>
      <c r="AI32" s="42"/>
      <c r="AJ32" s="42"/>
      <c r="AK32" s="42"/>
    </row>
    <row r="33" spans="1:37" x14ac:dyDescent="0.25">
      <c r="A33" s="69"/>
      <c r="B33" s="69"/>
      <c r="C33" s="69"/>
      <c r="D33" s="69"/>
      <c r="E33" s="69"/>
      <c r="F33" s="69"/>
      <c r="G33" s="69"/>
      <c r="H33" s="69"/>
      <c r="I33" s="69"/>
      <c r="J33" s="69"/>
      <c r="K33" s="69"/>
      <c r="L33" s="69"/>
      <c r="M33" s="69"/>
      <c r="N33" s="69"/>
      <c r="O33" s="69"/>
      <c r="P33" s="69"/>
      <c r="Q33" s="69"/>
      <c r="R33" s="69"/>
      <c r="S33" s="69"/>
      <c r="T33" s="69"/>
      <c r="U33" s="69"/>
      <c r="V33" s="69"/>
      <c r="W33" s="69"/>
      <c r="X33" s="42"/>
      <c r="Y33" s="42"/>
      <c r="Z33" s="42"/>
      <c r="AA33" s="42"/>
      <c r="AB33" s="42"/>
      <c r="AC33" s="42"/>
      <c r="AD33" s="42"/>
      <c r="AE33" s="42"/>
      <c r="AF33" s="42"/>
      <c r="AG33" s="42"/>
      <c r="AH33" s="42"/>
      <c r="AI33" s="42"/>
      <c r="AJ33" s="42"/>
      <c r="AK33" s="42"/>
    </row>
    <row r="34" spans="1:37" x14ac:dyDescent="0.25">
      <c r="A34" s="69"/>
      <c r="B34" s="69"/>
      <c r="C34" s="69"/>
      <c r="D34" s="69"/>
      <c r="E34" s="69"/>
      <c r="F34" s="69"/>
      <c r="G34" s="69"/>
      <c r="H34" s="69"/>
      <c r="I34" s="69"/>
      <c r="J34" s="69"/>
      <c r="K34" s="69"/>
      <c r="L34" s="69"/>
      <c r="M34" s="69"/>
      <c r="N34" s="69"/>
      <c r="O34" s="69"/>
      <c r="P34" s="69"/>
      <c r="Q34" s="69"/>
      <c r="R34" s="69"/>
      <c r="S34" s="69"/>
      <c r="T34" s="69"/>
      <c r="U34" s="69"/>
      <c r="V34" s="69"/>
      <c r="W34" s="69"/>
      <c r="X34" s="42"/>
      <c r="Y34" s="42"/>
      <c r="Z34" s="42"/>
      <c r="AA34" s="42"/>
      <c r="AB34" s="42"/>
      <c r="AC34" s="42"/>
      <c r="AD34" s="42"/>
      <c r="AE34" s="42"/>
      <c r="AF34" s="42"/>
      <c r="AG34" s="42"/>
      <c r="AH34" s="42"/>
      <c r="AI34" s="42"/>
      <c r="AJ34" s="42"/>
      <c r="AK34" s="42"/>
    </row>
    <row r="35" spans="1:37" x14ac:dyDescent="0.25">
      <c r="A35" s="69"/>
      <c r="B35" s="69"/>
      <c r="C35" s="69"/>
      <c r="D35" s="69"/>
      <c r="E35" s="69"/>
      <c r="F35" s="69"/>
      <c r="G35" s="69"/>
      <c r="H35" s="69"/>
      <c r="I35" s="69"/>
      <c r="J35" s="69"/>
      <c r="K35" s="69"/>
      <c r="L35" s="69"/>
      <c r="M35" s="69"/>
      <c r="N35" s="69"/>
      <c r="O35" s="69"/>
      <c r="P35" s="69"/>
      <c r="Q35" s="69"/>
      <c r="R35" s="69"/>
      <c r="S35" s="69"/>
      <c r="T35" s="69"/>
      <c r="U35" s="69"/>
      <c r="V35" s="69"/>
      <c r="W35" s="69"/>
      <c r="X35" s="42"/>
      <c r="Y35" s="42"/>
      <c r="Z35" s="42"/>
      <c r="AA35" s="42"/>
      <c r="AB35" s="42"/>
      <c r="AC35" s="42"/>
      <c r="AD35" s="42"/>
      <c r="AE35" s="42"/>
      <c r="AF35" s="42"/>
      <c r="AG35" s="42"/>
      <c r="AH35" s="42"/>
      <c r="AI35" s="42"/>
      <c r="AJ35" s="42"/>
      <c r="AK35" s="42"/>
    </row>
    <row r="36" spans="1:37" x14ac:dyDescent="0.25">
      <c r="A36" s="69"/>
      <c r="B36" s="69"/>
      <c r="C36" s="69"/>
      <c r="D36" s="69"/>
      <c r="E36" s="69"/>
      <c r="F36" s="69"/>
      <c r="G36" s="69"/>
      <c r="H36" s="69"/>
      <c r="I36" s="69"/>
      <c r="J36" s="69"/>
      <c r="K36" s="69"/>
      <c r="L36" s="69"/>
      <c r="M36" s="69"/>
      <c r="N36" s="69"/>
      <c r="O36" s="69"/>
      <c r="P36" s="69"/>
      <c r="Q36" s="69"/>
      <c r="R36" s="69"/>
      <c r="S36" s="69"/>
      <c r="T36" s="69"/>
      <c r="U36" s="69"/>
      <c r="V36" s="69"/>
      <c r="W36" s="69"/>
      <c r="X36" s="42"/>
      <c r="Y36" s="42"/>
      <c r="Z36" s="42"/>
      <c r="AA36" s="42"/>
      <c r="AB36" s="42"/>
      <c r="AC36" s="42"/>
      <c r="AD36" s="42"/>
      <c r="AE36" s="42"/>
      <c r="AF36" s="42"/>
      <c r="AG36" s="42"/>
      <c r="AH36" s="42"/>
      <c r="AI36" s="42"/>
      <c r="AJ36" s="42"/>
      <c r="AK36" s="42"/>
    </row>
    <row r="37" spans="1:37" x14ac:dyDescent="0.25">
      <c r="A37" s="69"/>
      <c r="B37" s="69"/>
      <c r="C37" s="69"/>
      <c r="D37" s="69"/>
      <c r="E37" s="69"/>
      <c r="F37" s="69"/>
      <c r="G37" s="69"/>
      <c r="H37" s="69"/>
      <c r="I37" s="69"/>
      <c r="J37" s="69"/>
      <c r="K37" s="69"/>
      <c r="L37" s="69"/>
      <c r="M37" s="69"/>
      <c r="N37" s="69"/>
      <c r="O37" s="69"/>
      <c r="P37" s="69"/>
      <c r="Q37" s="69"/>
      <c r="R37" s="69"/>
      <c r="S37" s="69"/>
      <c r="T37" s="69"/>
      <c r="U37" s="69"/>
      <c r="V37" s="69"/>
      <c r="W37" s="69"/>
      <c r="X37" s="42"/>
      <c r="Y37" s="42"/>
      <c r="Z37" s="42"/>
      <c r="AA37" s="42"/>
      <c r="AB37" s="42"/>
      <c r="AC37" s="42"/>
      <c r="AD37" s="42"/>
      <c r="AE37" s="42"/>
      <c r="AF37" s="42"/>
      <c r="AG37" s="42"/>
      <c r="AH37" s="42"/>
      <c r="AI37" s="42"/>
      <c r="AJ37" s="42"/>
      <c r="AK37" s="42"/>
    </row>
    <row r="38" spans="1:37" x14ac:dyDescent="0.25">
      <c r="A38" s="70" t="str">
        <f>"📉  ATTENDANCE vs TARGET  —  "&amp;TEXT($A$13,"0.0%")&amp;" avg, "&amp;TEXT(ABS($A$14),"0.0%")&amp;" below the "&amp;TEXT($D$8,"0%")&amp;" target"</f>
        <v>📉  ATTENDANCE vs TARGET  —  74.5% avg, 10.5% below the 85% target</v>
      </c>
      <c r="B38" s="70"/>
      <c r="C38" s="70"/>
      <c r="D38" s="70"/>
      <c r="E38" s="70"/>
      <c r="F38" s="70"/>
      <c r="G38" s="70"/>
      <c r="H38" s="70"/>
      <c r="I38" s="70"/>
      <c r="J38" s="70"/>
      <c r="K38" s="70"/>
      <c r="L38" s="69"/>
      <c r="M38" s="70" t="str">
        <f>"📈  PERFORMANCE vs TARGET BY MANAGER  —  "&amp;TEXT(MAX($O$67:$O$71),"0.0")&amp;" high, "&amp;TEXT(MIN($O$67:$O$71),"0.0")&amp;" low (target "&amp;TEXT($H$8,"0")&amp;")"</f>
        <v>📈  PERFORMANCE vs TARGET BY MANAGER  —  79.0 high, 76.1 low (target 75)</v>
      </c>
      <c r="N38" s="70"/>
      <c r="O38" s="70"/>
      <c r="P38" s="70"/>
      <c r="Q38" s="70"/>
      <c r="R38" s="70"/>
      <c r="S38" s="70"/>
      <c r="T38" s="70"/>
      <c r="U38" s="70"/>
      <c r="V38" s="70"/>
      <c r="W38" s="70"/>
      <c r="X38" s="42"/>
      <c r="Y38" s="42"/>
      <c r="Z38" s="42"/>
      <c r="AA38" s="42"/>
      <c r="AB38" s="42"/>
      <c r="AC38" s="42"/>
      <c r="AD38" s="42"/>
      <c r="AE38" s="42"/>
      <c r="AF38" s="42"/>
      <c r="AG38" s="42"/>
      <c r="AH38" s="42"/>
      <c r="AI38" s="42"/>
      <c r="AJ38" s="42"/>
      <c r="AK38" s="42"/>
    </row>
    <row r="39" spans="1:37" x14ac:dyDescent="0.25">
      <c r="A39" s="69"/>
      <c r="B39" s="69"/>
      <c r="C39" s="69"/>
      <c r="D39" s="69"/>
      <c r="E39" s="69"/>
      <c r="F39" s="69"/>
      <c r="G39" s="69"/>
      <c r="H39" s="69"/>
      <c r="I39" s="69"/>
      <c r="J39" s="69"/>
      <c r="K39" s="69"/>
      <c r="L39" s="69"/>
      <c r="M39" s="69"/>
      <c r="N39" s="69"/>
      <c r="O39" s="69"/>
      <c r="P39" s="69"/>
      <c r="Q39" s="69"/>
      <c r="R39" s="69"/>
      <c r="S39" s="69"/>
      <c r="T39" s="69"/>
      <c r="U39" s="69"/>
      <c r="V39" s="69"/>
      <c r="W39" s="69"/>
      <c r="X39" s="42"/>
      <c r="Y39" s="42"/>
      <c r="Z39" s="42"/>
      <c r="AA39" s="42"/>
      <c r="AB39" s="42"/>
      <c r="AC39" s="42"/>
      <c r="AD39" s="42"/>
      <c r="AE39" s="42"/>
      <c r="AF39" s="42"/>
      <c r="AG39" s="42"/>
      <c r="AH39" s="42"/>
      <c r="AI39" s="42"/>
      <c r="AJ39" s="42"/>
      <c r="AK39" s="42"/>
    </row>
    <row r="40" spans="1:37" x14ac:dyDescent="0.25">
      <c r="A40" s="69"/>
      <c r="B40" s="69"/>
      <c r="C40" s="69"/>
      <c r="D40" s="69"/>
      <c r="E40" s="69"/>
      <c r="F40" s="69"/>
      <c r="G40" s="69"/>
      <c r="H40" s="69"/>
      <c r="I40" s="69"/>
      <c r="J40" s="69"/>
      <c r="K40" s="69"/>
      <c r="L40" s="69"/>
      <c r="M40" s="69"/>
      <c r="N40" s="69"/>
      <c r="O40" s="69"/>
      <c r="P40" s="69"/>
      <c r="Q40" s="69"/>
      <c r="R40" s="69"/>
      <c r="S40" s="69"/>
      <c r="T40" s="69"/>
      <c r="U40" s="69"/>
      <c r="V40" s="69"/>
      <c r="W40" s="69"/>
      <c r="X40" s="42"/>
      <c r="Y40" s="42"/>
      <c r="Z40" s="42"/>
      <c r="AA40" s="42"/>
      <c r="AB40" s="42"/>
      <c r="AC40" s="42"/>
      <c r="AD40" s="42"/>
      <c r="AE40" s="42"/>
      <c r="AF40" s="42"/>
      <c r="AG40" s="42"/>
      <c r="AH40" s="42"/>
      <c r="AI40" s="42"/>
      <c r="AJ40" s="42"/>
      <c r="AK40" s="42"/>
    </row>
    <row r="41" spans="1:37" x14ac:dyDescent="0.25">
      <c r="A41" s="69"/>
      <c r="B41" s="69"/>
      <c r="C41" s="69"/>
      <c r="D41" s="69"/>
      <c r="E41" s="69"/>
      <c r="F41" s="69"/>
      <c r="G41" s="69"/>
      <c r="H41" s="69"/>
      <c r="I41" s="69"/>
      <c r="J41" s="69"/>
      <c r="K41" s="69"/>
      <c r="L41" s="69"/>
      <c r="M41" s="69"/>
      <c r="N41" s="69"/>
      <c r="O41" s="69"/>
      <c r="P41" s="69"/>
      <c r="Q41" s="69"/>
      <c r="R41" s="69"/>
      <c r="S41" s="69"/>
      <c r="T41" s="69"/>
      <c r="U41" s="69"/>
      <c r="V41" s="69"/>
      <c r="W41" s="69"/>
      <c r="X41" s="42"/>
      <c r="Y41" s="42"/>
      <c r="Z41" s="42"/>
      <c r="AA41" s="42"/>
      <c r="AB41" s="42"/>
      <c r="AC41" s="42"/>
      <c r="AD41" s="42"/>
      <c r="AE41" s="42"/>
      <c r="AF41" s="42"/>
      <c r="AG41" s="42"/>
      <c r="AH41" s="42"/>
      <c r="AI41" s="42"/>
      <c r="AJ41" s="42"/>
      <c r="AK41" s="42"/>
    </row>
    <row r="42" spans="1:37" x14ac:dyDescent="0.25">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row>
    <row r="43" spans="1:37" x14ac:dyDescent="0.25">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row>
    <row r="44" spans="1:37" x14ac:dyDescent="0.2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row>
    <row r="45" spans="1:37" x14ac:dyDescent="0.2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row>
    <row r="46" spans="1:37" x14ac:dyDescent="0.2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row>
    <row r="47" spans="1:37" ht="15.75" x14ac:dyDescent="0.25">
      <c r="A47"/>
      <c r="B47"/>
      <c r="C47"/>
      <c r="D47"/>
      <c r="E47"/>
      <c r="F47"/>
      <c r="G47"/>
      <c r="H47"/>
      <c r="I47"/>
      <c r="J47"/>
      <c r="K47"/>
      <c r="L47"/>
      <c r="M47"/>
      <c r="N47"/>
      <c r="O47"/>
      <c r="P47"/>
      <c r="Q47"/>
      <c r="R47"/>
      <c r="S47"/>
      <c r="T47"/>
      <c r="U47" s="67"/>
      <c r="V47" s="67"/>
      <c r="W47" s="67"/>
      <c r="X47" s="42"/>
      <c r="Y47" s="42"/>
      <c r="Z47" s="42"/>
      <c r="AA47" s="42"/>
      <c r="AB47" s="42"/>
      <c r="AC47" s="42"/>
      <c r="AD47" s="42"/>
      <c r="AE47" s="42"/>
      <c r="AF47" s="42"/>
      <c r="AG47" s="42"/>
      <c r="AH47" s="42"/>
      <c r="AI47" s="42"/>
      <c r="AJ47" s="42"/>
      <c r="AK47" s="42"/>
    </row>
    <row r="48" spans="1:37" x14ac:dyDescent="0.25">
      <c r="A48"/>
      <c r="B48"/>
      <c r="C48"/>
      <c r="D48"/>
      <c r="E48"/>
      <c r="F48"/>
      <c r="G48"/>
      <c r="H48"/>
      <c r="I48"/>
      <c r="J48"/>
      <c r="K48"/>
      <c r="L48"/>
      <c r="M48"/>
      <c r="N48"/>
      <c r="O48"/>
      <c r="P48"/>
      <c r="Q48"/>
      <c r="R48"/>
      <c r="S48"/>
      <c r="T48"/>
      <c r="U48" s="42"/>
      <c r="V48" s="42"/>
      <c r="W48" s="42"/>
      <c r="X48" s="42"/>
      <c r="Y48" s="42"/>
      <c r="Z48" s="42"/>
      <c r="AA48" s="42"/>
      <c r="AB48" s="42"/>
      <c r="AC48" s="42"/>
      <c r="AD48" s="42"/>
      <c r="AE48" s="42"/>
      <c r="AF48" s="42"/>
      <c r="AG48" s="42"/>
      <c r="AH48" s="42"/>
      <c r="AI48" s="42"/>
      <c r="AJ48" s="42"/>
      <c r="AK48" s="42"/>
    </row>
    <row r="49" spans="1:37" x14ac:dyDescent="0.25">
      <c r="A49"/>
      <c r="B49"/>
      <c r="C49"/>
      <c r="D49"/>
      <c r="E49"/>
      <c r="F49"/>
      <c r="G49"/>
      <c r="H49"/>
      <c r="I49"/>
      <c r="J49"/>
      <c r="K49"/>
      <c r="L49"/>
      <c r="M49"/>
      <c r="N49"/>
      <c r="O49"/>
      <c r="P49"/>
      <c r="Q49"/>
      <c r="R49"/>
      <c r="S49"/>
      <c r="T49"/>
      <c r="U49" s="42"/>
      <c r="V49" s="42"/>
      <c r="W49" s="42"/>
      <c r="X49" s="42"/>
      <c r="Y49" s="42"/>
      <c r="Z49" s="42"/>
      <c r="AA49" s="42"/>
      <c r="AB49" s="42"/>
      <c r="AC49" s="42"/>
      <c r="AD49" s="42"/>
      <c r="AE49" s="42"/>
      <c r="AF49" s="42"/>
      <c r="AG49" s="42"/>
      <c r="AH49" s="42"/>
      <c r="AI49" s="42"/>
      <c r="AJ49" s="42"/>
      <c r="AK49" s="42"/>
    </row>
    <row r="50" spans="1:37" x14ac:dyDescent="0.25">
      <c r="A50"/>
      <c r="B50"/>
      <c r="C50"/>
      <c r="D50"/>
      <c r="E50"/>
      <c r="F50"/>
      <c r="G50"/>
      <c r="H50"/>
      <c r="I50"/>
      <c r="J50"/>
      <c r="K50"/>
      <c r="L50"/>
      <c r="M50"/>
      <c r="N50"/>
      <c r="O50"/>
      <c r="P50"/>
      <c r="Q50"/>
      <c r="R50"/>
      <c r="S50"/>
      <c r="T50"/>
      <c r="U50" s="42"/>
      <c r="V50" s="42"/>
      <c r="W50" s="42"/>
      <c r="X50" s="42"/>
      <c r="Y50" s="42"/>
      <c r="Z50" s="42"/>
      <c r="AA50" s="42"/>
      <c r="AB50" s="42"/>
      <c r="AC50" s="42"/>
      <c r="AD50" s="42"/>
      <c r="AE50" s="42"/>
      <c r="AF50" s="42"/>
      <c r="AG50" s="42"/>
      <c r="AH50" s="42"/>
      <c r="AI50" s="42"/>
      <c r="AJ50" s="42"/>
      <c r="AK50" s="42"/>
    </row>
    <row r="51" spans="1:37" x14ac:dyDescent="0.25">
      <c r="A51"/>
      <c r="B51"/>
      <c r="C51"/>
      <c r="D51"/>
      <c r="E51"/>
      <c r="F51"/>
      <c r="G51"/>
      <c r="H51"/>
      <c r="I51"/>
      <c r="J51"/>
      <c r="K51"/>
      <c r="L51"/>
      <c r="M51"/>
      <c r="N51"/>
      <c r="O51"/>
      <c r="P51"/>
      <c r="Q51"/>
      <c r="R51"/>
      <c r="S51"/>
      <c r="T51"/>
      <c r="U51" s="42"/>
      <c r="V51" s="42"/>
      <c r="W51" s="42"/>
      <c r="X51" s="42"/>
      <c r="Y51" s="42"/>
      <c r="Z51" s="42"/>
      <c r="AA51" s="42"/>
      <c r="AB51" s="42"/>
      <c r="AC51" s="42"/>
      <c r="AD51" s="42"/>
      <c r="AE51" s="42"/>
      <c r="AF51" s="42"/>
      <c r="AG51" s="42"/>
      <c r="AH51" s="42"/>
      <c r="AI51" s="42"/>
      <c r="AJ51" s="42"/>
      <c r="AK51" s="42"/>
    </row>
    <row r="52" spans="1:37" x14ac:dyDescent="0.25">
      <c r="A52"/>
      <c r="B52"/>
      <c r="C52"/>
      <c r="D52"/>
      <c r="E52"/>
      <c r="F52"/>
      <c r="G52"/>
      <c r="H52"/>
      <c r="I52"/>
      <c r="J52"/>
      <c r="K52"/>
      <c r="L52"/>
      <c r="M52"/>
      <c r="N52"/>
      <c r="O52"/>
      <c r="P52"/>
      <c r="Q52"/>
      <c r="R52"/>
      <c r="S52"/>
      <c r="T52"/>
      <c r="U52" s="42"/>
      <c r="V52" s="42"/>
      <c r="W52" s="42"/>
      <c r="X52" s="42"/>
      <c r="Y52" s="42"/>
      <c r="Z52" s="42"/>
      <c r="AA52" s="42"/>
      <c r="AB52" s="42"/>
      <c r="AC52" s="42"/>
      <c r="AD52" s="42"/>
      <c r="AE52" s="42"/>
      <c r="AF52" s="42"/>
      <c r="AG52" s="42"/>
      <c r="AH52" s="42"/>
      <c r="AI52" s="42"/>
      <c r="AJ52" s="42"/>
      <c r="AK52" s="42"/>
    </row>
    <row r="53" spans="1:37" x14ac:dyDescent="0.25">
      <c r="A53"/>
      <c r="B53"/>
      <c r="C53"/>
      <c r="D53"/>
      <c r="E53"/>
      <c r="F53"/>
      <c r="G53"/>
      <c r="H53"/>
      <c r="I53"/>
      <c r="J53"/>
      <c r="K53"/>
      <c r="L53"/>
      <c r="M53"/>
      <c r="N53"/>
      <c r="O53"/>
      <c r="P53"/>
      <c r="Q53"/>
      <c r="R53"/>
      <c r="S53"/>
      <c r="T53"/>
      <c r="U53" s="42"/>
      <c r="V53" s="42"/>
      <c r="W53" s="42"/>
      <c r="X53" s="42"/>
      <c r="Y53" s="42"/>
      <c r="Z53" s="42"/>
      <c r="AA53" s="42"/>
      <c r="AB53" s="42"/>
      <c r="AC53" s="42"/>
      <c r="AD53" s="42"/>
      <c r="AE53" s="42"/>
      <c r="AF53" s="42"/>
      <c r="AG53" s="42"/>
      <c r="AH53" s="42"/>
      <c r="AI53" s="42"/>
      <c r="AJ53" s="42"/>
      <c r="AK53" s="42"/>
    </row>
    <row r="54" spans="1:37" ht="15.75" x14ac:dyDescent="0.25">
      <c r="A54" s="21" t="str" cm="1">
        <f t="array" ref="A54">"DATA QUALITY &amp; ACTION ITEMS  —  "&amp;TEXT(SUMPRODUCT(--(((Employee_Master[Rating]="Not Reviewed")+(Employee_Master[Manager]="Not Assigned"))&gt;0)),"#,##0")&amp;" RECORDS NEED FOLLOW-UP"</f>
        <v>DATA QUALITY &amp; ACTION ITEMS  —  464 RECORDS NEED FOLLOW-UP</v>
      </c>
      <c r="B54" s="21"/>
      <c r="C54" s="21"/>
      <c r="D54" s="21"/>
      <c r="E54" s="21"/>
      <c r="F54" s="21"/>
      <c r="G54" s="21"/>
      <c r="H54" s="21"/>
      <c r="I54" s="21"/>
      <c r="J54" s="21"/>
      <c r="K54" s="21"/>
      <c r="L54" s="21"/>
      <c r="M54" s="21"/>
      <c r="N54" s="21"/>
      <c r="O54" s="21"/>
      <c r="P54" s="21"/>
      <c r="Q54" s="21"/>
      <c r="R54" s="21"/>
      <c r="S54" s="21"/>
      <c r="T54" s="21"/>
      <c r="U54" s="42"/>
      <c r="V54" s="42"/>
      <c r="W54" s="42"/>
      <c r="X54" s="42"/>
      <c r="Y54" s="42"/>
      <c r="Z54" s="42"/>
      <c r="AA54" s="42"/>
      <c r="AB54" s="42"/>
      <c r="AC54" s="42"/>
      <c r="AD54" s="42"/>
      <c r="AE54" s="42"/>
      <c r="AF54" s="42"/>
      <c r="AG54" s="42"/>
      <c r="AH54" s="42"/>
      <c r="AI54" s="42"/>
      <c r="AJ54" s="42"/>
      <c r="AK54" s="42"/>
    </row>
    <row r="55" spans="1:37" x14ac:dyDescent="0.25">
      <c r="A55" s="27" t="str">
        <f>"⚠ "&amp;TEXT($I$13,"#,##0")&amp;" employees ("&amp;TEXT($I$14,"0.0%")&amp;" of workforce) are pending their first performance review — assign managers and schedule reviews within 30 days of hire."</f>
        <v>⚠ 301 employees (30.1% of workforce) are pending their first performance review — assign managers and schedule reviews within 30 days of hire.</v>
      </c>
      <c r="B55" s="27"/>
      <c r="C55" s="27"/>
      <c r="D55" s="27"/>
      <c r="E55" s="27"/>
      <c r="F55" s="27"/>
      <c r="G55" s="27"/>
      <c r="H55" s="27"/>
      <c r="I55" s="27"/>
      <c r="J55" s="27"/>
      <c r="K55" s="27"/>
      <c r="L55" s="27"/>
      <c r="M55" s="27"/>
      <c r="N55" s="27"/>
      <c r="O55" s="27"/>
      <c r="P55" s="27"/>
      <c r="Q55" s="27"/>
      <c r="R55" s="27"/>
      <c r="S55" s="27"/>
      <c r="T55" s="27"/>
      <c r="U55" s="42"/>
      <c r="V55" s="42"/>
      <c r="W55" s="42"/>
      <c r="X55" s="42"/>
      <c r="Y55" s="42"/>
      <c r="Z55" s="42"/>
      <c r="AA55" s="42"/>
      <c r="AB55" s="42"/>
      <c r="AC55" s="42"/>
      <c r="AD55" s="42"/>
      <c r="AE55" s="42"/>
      <c r="AF55" s="42"/>
      <c r="AG55" s="42"/>
      <c r="AH55" s="42"/>
      <c r="AI55" s="42"/>
      <c r="AJ55" s="42"/>
      <c r="AK55" s="42"/>
    </row>
    <row r="56" spans="1:37" x14ac:dyDescent="0.25">
      <c r="A56" s="27" t="str">
        <f>"⚠ "&amp;TEXT($M$13,"#,##0")&amp;" employees ("&amp;TEXT($M$14,"0.0%")&amp;") have no manager assigned — a governance gap affecting performance management and accountability."</f>
        <v>⚠ 464 employees (46.4%) have no manager assigned — a governance gap affecting performance management and accountability.</v>
      </c>
      <c r="B56" s="27"/>
      <c r="C56" s="27"/>
      <c r="D56" s="27"/>
      <c r="E56" s="27"/>
      <c r="F56" s="27"/>
      <c r="G56" s="27"/>
      <c r="H56" s="27"/>
      <c r="I56" s="27"/>
      <c r="J56" s="27"/>
      <c r="K56" s="27"/>
      <c r="L56" s="27"/>
      <c r="M56" s="27"/>
      <c r="N56" s="27"/>
      <c r="O56" s="27"/>
      <c r="P56" s="27"/>
      <c r="Q56" s="27"/>
      <c r="R56" s="27"/>
      <c r="S56" s="27"/>
      <c r="T56" s="27"/>
      <c r="U56" s="42"/>
      <c r="V56" s="42"/>
      <c r="W56" s="42"/>
      <c r="X56" s="42"/>
      <c r="Y56" s="42"/>
      <c r="Z56" s="42"/>
      <c r="AA56" s="42"/>
      <c r="AB56" s="42"/>
      <c r="AC56" s="42"/>
      <c r="AD56" s="42"/>
      <c r="AE56" s="42"/>
      <c r="AF56" s="42"/>
      <c r="AG56" s="42"/>
      <c r="AH56" s="42"/>
      <c r="AI56" s="42"/>
      <c r="AJ56" s="42"/>
      <c r="AK56" s="42"/>
    </row>
    <row r="57" spans="1:37" x14ac:dyDescent="0.25">
      <c r="A57" s="27" t="str">
        <f>"⚠ "&amp;TEXT($Q$13,"#,##0")&amp;" employees ("&amp;TEXT($Q$14,"0.0%")&amp;") have no department recorded — correct data capture at source (HRIS/hire form)."</f>
        <v>⚠ 27 employees (2.7%) have no department recorded — correct data capture at source (HRIS/hire form).</v>
      </c>
      <c r="B57" s="27"/>
      <c r="C57" s="27"/>
      <c r="D57" s="27"/>
      <c r="E57" s="27"/>
      <c r="F57" s="27"/>
      <c r="G57" s="27"/>
      <c r="H57" s="27"/>
      <c r="I57" s="27"/>
      <c r="J57" s="27"/>
      <c r="K57" s="27"/>
      <c r="L57" s="27"/>
      <c r="M57" s="27"/>
      <c r="N57" s="27"/>
      <c r="O57" s="27"/>
      <c r="P57" s="27"/>
      <c r="Q57" s="27"/>
      <c r="R57" s="27"/>
      <c r="S57" s="27"/>
      <c r="T57" s="27"/>
      <c r="U57" s="42"/>
      <c r="V57" s="42"/>
      <c r="W57" s="42"/>
      <c r="X57" s="42"/>
      <c r="Y57" s="42"/>
      <c r="Z57" s="42"/>
      <c r="AA57" s="42"/>
      <c r="AB57" s="42"/>
      <c r="AC57" s="42"/>
      <c r="AD57" s="42"/>
      <c r="AE57" s="42"/>
      <c r="AF57" s="42"/>
      <c r="AG57" s="42"/>
      <c r="AH57" s="42"/>
      <c r="AI57" s="42"/>
      <c r="AJ57" s="42"/>
      <c r="AK57" s="42"/>
    </row>
    <row r="58" spans="1:37" x14ac:dyDescent="0.25">
      <c r="A58" s="27" t="str">
        <f>"⚠ "&amp;TEXT(COUNTBLANK(Employee_Master[PAYE Tax (NGN)]),"#,##0")&amp;" employee records are missing PAYE Tax values — verify payroll deductions before the next remittance cycle."</f>
        <v>⚠ 39 employee records are missing PAYE Tax values — verify payroll deductions before the next remittance cycle.</v>
      </c>
      <c r="B58" s="27"/>
      <c r="C58" s="27"/>
      <c r="D58" s="27"/>
      <c r="E58" s="27"/>
      <c r="F58" s="27"/>
      <c r="G58" s="27"/>
      <c r="H58" s="27"/>
      <c r="I58" s="27"/>
      <c r="J58" s="27"/>
      <c r="K58" s="27"/>
      <c r="L58" s="27"/>
      <c r="M58" s="27"/>
      <c r="N58" s="27"/>
      <c r="O58" s="27"/>
      <c r="P58" s="27"/>
      <c r="Q58" s="27"/>
      <c r="R58" s="27"/>
      <c r="S58" s="27"/>
      <c r="T58" s="27"/>
      <c r="U58" s="42"/>
      <c r="V58" s="42"/>
      <c r="W58" s="42"/>
      <c r="X58" s="42"/>
      <c r="Y58" s="42"/>
      <c r="Z58" s="42"/>
      <c r="AA58" s="42"/>
      <c r="AB58" s="42"/>
      <c r="AC58" s="42"/>
      <c r="AD58" s="42"/>
      <c r="AE58" s="42"/>
      <c r="AF58" s="42"/>
      <c r="AG58" s="42"/>
      <c r="AH58" s="42"/>
      <c r="AI58" s="42"/>
      <c r="AJ58" s="42"/>
      <c r="AK58" s="42"/>
    </row>
    <row r="59" spans="1:37" x14ac:dyDescent="0.25">
      <c r="A59" s="28" t="str">
        <f>"📉 Average attendance rate is "&amp;TEXT($A$13,"0.0%")&amp;", "&amp;TEXT(ABS($A$14),"0.0%")&amp;" below the "&amp;TEXT($D$8,"0%")&amp;" target — lowest is "&amp;INDEX($A$67:$A$77,MATCH(MIN($E$67:$E$77),$E$67:$E$77,0))&amp;" at "&amp;TEXT(MIN($E$67:$E$77),"0.0%")&amp;"."</f>
        <v>📉 Average attendance rate is 74.5%, 10.5% below the 85% target — lowest is Customer Success at 72.8%.</v>
      </c>
      <c r="B59" s="28"/>
      <c r="C59" s="28"/>
      <c r="D59" s="28"/>
      <c r="E59" s="28"/>
      <c r="F59" s="28"/>
      <c r="G59" s="28"/>
      <c r="H59" s="28"/>
      <c r="I59" s="28"/>
      <c r="J59" s="28"/>
      <c r="K59" s="28"/>
      <c r="L59" s="28"/>
      <c r="M59" s="28"/>
      <c r="N59" s="28"/>
      <c r="O59" s="28"/>
      <c r="P59" s="28"/>
      <c r="Q59" s="28"/>
      <c r="R59" s="28"/>
      <c r="S59" s="28"/>
      <c r="T59" s="28"/>
      <c r="U59" s="42"/>
      <c r="V59" s="42"/>
      <c r="W59" s="42"/>
      <c r="X59" s="42"/>
      <c r="Y59" s="42"/>
      <c r="Z59" s="42"/>
      <c r="AA59" s="42"/>
      <c r="AB59" s="42"/>
      <c r="AC59" s="42"/>
      <c r="AD59" s="42"/>
      <c r="AE59" s="42"/>
      <c r="AF59" s="42"/>
      <c r="AG59" s="42"/>
      <c r="AH59" s="42"/>
      <c r="AI59" s="42"/>
      <c r="AJ59" s="42"/>
      <c r="AK59" s="42"/>
    </row>
    <row r="60" spans="1:37" x14ac:dyDescent="0.25">
      <c r="A60" s="28" t="str">
        <f>"📈 Average performance score (reviewed staff) is "&amp;TEXT($E$13,"0.0")&amp;", "&amp;TEXT($E$14,"+0.0;-0.0")&amp;" vs. the "&amp;TEXT($H$8,"0")&amp;" target — "&amp;INDEX($A$67:$A$77,MATCH(MAX($G$67:$G$77),$G$67:$G$77,0))&amp;" leads at "&amp;TEXT(MAX($G$67:$G$77),"0.0")&amp;"."</f>
        <v>📈 Average performance score (reviewed staff) is 77.3, +2.3 vs. the 75 target — NA leads at 84.9.</v>
      </c>
      <c r="B60" s="28"/>
      <c r="C60" s="28"/>
      <c r="D60" s="28"/>
      <c r="E60" s="28"/>
      <c r="F60" s="28"/>
      <c r="G60" s="28"/>
      <c r="H60" s="28"/>
      <c r="I60" s="28"/>
      <c r="J60" s="28"/>
      <c r="K60" s="28"/>
      <c r="L60" s="28"/>
      <c r="M60" s="28"/>
      <c r="N60" s="28"/>
      <c r="O60" s="28"/>
      <c r="P60" s="28"/>
      <c r="Q60" s="28"/>
      <c r="R60" s="28"/>
      <c r="S60" s="28"/>
      <c r="T60" s="28"/>
      <c r="U60" s="42"/>
      <c r="V60" s="42"/>
      <c r="W60" s="42"/>
      <c r="X60" s="42"/>
      <c r="Y60" s="42"/>
      <c r="Z60" s="42"/>
      <c r="AA60" s="42"/>
      <c r="AB60" s="42"/>
      <c r="AC60" s="42"/>
      <c r="AD60" s="42"/>
      <c r="AE60" s="42"/>
      <c r="AF60" s="42"/>
      <c r="AG60" s="42"/>
      <c r="AH60" s="42"/>
      <c r="AI60" s="42"/>
      <c r="AJ60" s="42"/>
      <c r="AK60" s="42"/>
    </row>
    <row r="61" spans="1:37" x14ac:dyDescent="0.25">
      <c r="A61" s="28" t="str">
        <f>"💰 "&amp;INDEX($A$67:$A$77,MATCH(MAX($C$67:$C$77),$C$67:$C$77,0))&amp;" carries the largest payroll cost at ₦"&amp;TEXT(MAX($C$67:$C$77),"#,##0")&amp;" ("&amp;TEXT(MAX($C$67:$C$77)/$C$78,"0.0%")&amp;" of total payroll)."</f>
        <v>💰 Marketing carries the largest payroll cost at ₦61,744,810 (11.6% of total payroll).</v>
      </c>
      <c r="B61" s="28"/>
      <c r="C61" s="28"/>
      <c r="D61" s="28"/>
      <c r="E61" s="28"/>
      <c r="F61" s="28"/>
      <c r="G61" s="28"/>
      <c r="H61" s="28"/>
      <c r="I61" s="28"/>
      <c r="J61" s="28"/>
      <c r="K61" s="28"/>
      <c r="L61" s="28"/>
      <c r="M61" s="28"/>
      <c r="N61" s="28"/>
      <c r="O61" s="28"/>
      <c r="P61" s="28"/>
      <c r="Q61" s="28"/>
      <c r="R61" s="28"/>
      <c r="S61" s="28"/>
      <c r="T61" s="28"/>
      <c r="U61" s="42"/>
      <c r="V61" s="42"/>
      <c r="W61" s="42"/>
      <c r="X61" s="42"/>
      <c r="Y61" s="42"/>
      <c r="Z61" s="42"/>
      <c r="AA61" s="42"/>
      <c r="AB61" s="42"/>
      <c r="AC61" s="42"/>
      <c r="AD61" s="42"/>
      <c r="AE61" s="42"/>
      <c r="AF61" s="42"/>
      <c r="AG61" s="42"/>
      <c r="AH61" s="42"/>
      <c r="AI61" s="42"/>
      <c r="AJ61" s="42"/>
      <c r="AK61" s="42"/>
    </row>
    <row r="62" spans="1:37" x14ac:dyDescent="0.25">
      <c r="A62" s="30" t="str">
        <f>"🗒 Recommended action: prioritize onboarding completion (manager assignment + review) for the "&amp;TEXT($I$13,"#,##0")&amp;" pending hires before the next compensation/bonus cycle."</f>
        <v>🗒 Recommended action: prioritize onboarding completion (manager assignment + review) for the 301 pending hires before the next compensation/bonus cycle.</v>
      </c>
      <c r="B62" s="29"/>
      <c r="C62" s="29"/>
      <c r="D62" s="29"/>
      <c r="E62" s="29"/>
      <c r="F62" s="29"/>
      <c r="G62" s="29"/>
      <c r="H62" s="29"/>
      <c r="I62" s="29"/>
      <c r="J62" s="29"/>
      <c r="K62" s="29"/>
      <c r="L62" s="29"/>
      <c r="M62" s="29"/>
      <c r="N62" s="29"/>
      <c r="O62" s="29"/>
      <c r="P62" s="29"/>
      <c r="Q62" s="29"/>
      <c r="R62" s="29"/>
      <c r="S62" s="29"/>
      <c r="T62" s="29"/>
      <c r="U62" s="42"/>
      <c r="V62" s="42"/>
      <c r="W62" s="42"/>
      <c r="X62" s="42"/>
      <c r="Y62" s="42"/>
      <c r="Z62" s="42"/>
      <c r="AA62" s="42"/>
      <c r="AB62" s="42"/>
      <c r="AC62" s="42"/>
      <c r="AD62" s="42"/>
      <c r="AE62" s="42"/>
      <c r="AF62" s="42"/>
      <c r="AG62" s="42"/>
      <c r="AH62" s="42"/>
      <c r="AI62" s="42"/>
      <c r="AJ62" s="42"/>
      <c r="AK62" s="42"/>
    </row>
    <row r="63" spans="1:37" x14ac:dyDescent="0.25">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row>
    <row r="64" spans="1:37" x14ac:dyDescent="0.2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row>
    <row r="65" spans="1:37" ht="15.75" x14ac:dyDescent="0.25">
      <c r="A65" s="21" t="s">
        <v>1442</v>
      </c>
      <c r="B65" s="21"/>
      <c r="C65" s="21"/>
      <c r="D65" s="21"/>
      <c r="E65" s="21"/>
      <c r="F65" s="21"/>
      <c r="G65" s="21"/>
      <c r="H65" s="21"/>
      <c r="I65" s="21"/>
      <c r="J65" s="21"/>
      <c r="K65" s="21"/>
      <c r="L65" s="21"/>
      <c r="M65" s="21"/>
      <c r="N65" s="21"/>
      <c r="O65" s="21"/>
      <c r="P65" s="21"/>
      <c r="Q65" s="21"/>
      <c r="R65" s="21"/>
      <c r="S65" s="21"/>
      <c r="T65" s="21"/>
      <c r="U65" s="42"/>
      <c r="V65" s="42"/>
      <c r="W65" s="42"/>
      <c r="X65" s="42"/>
      <c r="Y65" s="42"/>
      <c r="Z65" s="42"/>
      <c r="AA65" s="42"/>
      <c r="AB65" s="42"/>
      <c r="AC65" s="42"/>
      <c r="AD65" s="42"/>
      <c r="AE65" s="42"/>
      <c r="AF65" s="42"/>
      <c r="AG65" s="42"/>
      <c r="AH65" s="42"/>
      <c r="AI65" s="42"/>
      <c r="AJ65" s="42"/>
    </row>
    <row r="66" spans="1:37" x14ac:dyDescent="0.25">
      <c r="A66" s="31" t="s">
        <v>1</v>
      </c>
      <c r="B66" s="31" t="s">
        <v>1443</v>
      </c>
      <c r="C66" s="31" t="s">
        <v>1444</v>
      </c>
      <c r="D66" s="31" t="s">
        <v>1445</v>
      </c>
      <c r="E66" s="31" t="s">
        <v>1446</v>
      </c>
      <c r="F66" s="31" t="s">
        <v>1408</v>
      </c>
      <c r="G66" s="31" t="s">
        <v>1447</v>
      </c>
      <c r="H66" s="42"/>
      <c r="I66" s="31" t="s">
        <v>1013</v>
      </c>
      <c r="J66" s="31" t="s">
        <v>1449</v>
      </c>
      <c r="K66" s="31" t="s">
        <v>1450</v>
      </c>
      <c r="L66" s="42"/>
      <c r="M66" s="31" t="s">
        <v>1012</v>
      </c>
      <c r="N66" s="31" t="s">
        <v>1443</v>
      </c>
      <c r="O66" s="31" t="s">
        <v>1447</v>
      </c>
      <c r="P66" s="31" t="s">
        <v>1446</v>
      </c>
      <c r="Q66" s="42"/>
      <c r="R66" s="26" t="s">
        <v>1453</v>
      </c>
      <c r="S66" s="26" t="s">
        <v>1</v>
      </c>
      <c r="T66" s="66" t="s">
        <v>1443</v>
      </c>
      <c r="U66" s="26" t="s">
        <v>1453</v>
      </c>
      <c r="V66" s="66" t="s">
        <v>1</v>
      </c>
      <c r="W66" s="66" t="s">
        <v>1454</v>
      </c>
      <c r="X66" s="26" t="s">
        <v>1453</v>
      </c>
      <c r="Y66" s="26" t="s">
        <v>1</v>
      </c>
      <c r="Z66" s="26" t="s">
        <v>1412</v>
      </c>
      <c r="AA66" s="26" t="s">
        <v>1455</v>
      </c>
      <c r="AB66" s="26" t="s">
        <v>1453</v>
      </c>
      <c r="AC66" s="26" t="s">
        <v>1012</v>
      </c>
      <c r="AD66" s="26" t="s">
        <v>1456</v>
      </c>
      <c r="AE66" s="26" t="s">
        <v>1455</v>
      </c>
      <c r="AF66" s="42"/>
      <c r="AG66" s="26" t="s">
        <v>1414</v>
      </c>
      <c r="AH66" s="26" t="s">
        <v>1019</v>
      </c>
      <c r="AI66" s="26" t="s">
        <v>1017</v>
      </c>
      <c r="AJ66" s="26" t="s">
        <v>1020</v>
      </c>
      <c r="AK66" s="5" t="s">
        <v>1015</v>
      </c>
    </row>
    <row r="67" spans="1:37" x14ac:dyDescent="0.25">
      <c r="A67" s="44" t="s">
        <v>9</v>
      </c>
      <c r="B67" s="45">
        <f>COUNTIF(Employee_Master[Department],$A67)</f>
        <v>114</v>
      </c>
      <c r="C67" s="46">
        <f>SUMIF(Employee_Master[Department],$A67,Employee_Master[Salary (NGN)])</f>
        <v>61744810</v>
      </c>
      <c r="D67" s="46">
        <f>IFERROR(C67/B67,0)</f>
        <v>541621.14035087719</v>
      </c>
      <c r="E67" s="47">
        <f>IFERROR(AVERAGEIF(Employee_Master[Department],$A67,Employee_Master[Attendance Rate]),0)</f>
        <v>0.75495790758948622</v>
      </c>
      <c r="F67" s="45">
        <f>SUMIF(Employee_Master[Department],$A67,Employee_Master[Total Leave Days])</f>
        <v>430</v>
      </c>
      <c r="G67" s="48">
        <f>IFERROR(AVERAGEIFS(Employee_Master[Performance Score],Employee_Master[Department],$A67,Employee_Master[Rating],"&lt;&gt;Not Reviewed"),0)</f>
        <v>77.415584415584419</v>
      </c>
      <c r="H67" s="42"/>
      <c r="I67" s="44" t="s">
        <v>1414</v>
      </c>
      <c r="J67" s="45">
        <f>COUNTIF(Employee_Master[Rating],$I67)</f>
        <v>301</v>
      </c>
      <c r="K67" s="47">
        <f>J67/$A$11</f>
        <v>0.30069930069930068</v>
      </c>
      <c r="L67" s="42"/>
      <c r="M67" s="44" t="s">
        <v>1014</v>
      </c>
      <c r="N67" s="45">
        <f>COUNTIF(Employee_Master[Manager],$M67)</f>
        <v>144</v>
      </c>
      <c r="O67" s="48">
        <f>IFERROR(AVERAGEIFS(Employee_Master[Performance Score],Employee_Master[Manager],$M67,Employee_Master[Rating],"&lt;&gt;Not Reviewed"),0)</f>
        <v>76.111111111111114</v>
      </c>
      <c r="P67" s="47">
        <f>IFERROR(AVERAGEIF(Employee_Master[Manager],$M67,Employee_Master[Attendance Rate]),0)</f>
        <v>0.74317765567765559</v>
      </c>
      <c r="Q67" s="42"/>
      <c r="R67" s="49">
        <f>$B67+ROW()/100000</f>
        <v>114.00067</v>
      </c>
      <c r="S67" s="50" t="str">
        <f>INDEX($A$67:$A$77,MATCH(SMALL($R$67:$R$77,ROW()-ROW($S$66)),$R$67:$R$77,0))</f>
        <v>NA</v>
      </c>
      <c r="T67" s="42">
        <f>INDEX($B$67:$B$77,MATCH(SMALL($R$67:$R$77,ROW()-ROW($S$66)),$R$67:$R$77,0))</f>
        <v>27</v>
      </c>
      <c r="U67" s="49">
        <f>$D67+ROW()/100000</f>
        <v>541621.14102087717</v>
      </c>
      <c r="V67" s="42" t="str">
        <f>INDEX($A$67:$A$77,MATCH(SMALL($U$67:$U$77,ROW()-ROW($V$66)),$U$67:$U$77,0))</f>
        <v>Logistics</v>
      </c>
      <c r="W67" s="42">
        <f>INDEX($D$67:$D$77,MATCH(SMALL($U$67:$U$77,ROW()-ROW($V$66)),$U$67:$U$77,0))</f>
        <v>494339.83561643836</v>
      </c>
      <c r="X67" s="51">
        <f>$E67+ROW()/100000</f>
        <v>0.75562790758948617</v>
      </c>
      <c r="Y67" s="52" t="str">
        <f>INDEX($A$67:$A$77,MATCH(SMALL($X$67:$X$77,ROW()-ROW($Y$66)),$X$67:$X$77,0))</f>
        <v>Customer Success</v>
      </c>
      <c r="Z67" s="42">
        <f>INDEX($E$67:$E$77,MATCH(SMALL($X$67:$X$77,ROW()-ROW($Y$66)),$X$67:$X$77,0))</f>
        <v>0.72840136054421745</v>
      </c>
      <c r="AA67" s="49">
        <f>$D$8</f>
        <v>0.85</v>
      </c>
      <c r="AB67" s="53">
        <f>$O67+ROW()/100000</f>
        <v>76.111781111111114</v>
      </c>
      <c r="AC67" s="42" t="str">
        <f>INDEX($M$67:$M$71,MATCH(LARGE($AB$67:$AB$71,ROW()-ROW($AC$66)),$AB$67:$AB$71,0))</f>
        <v>Daniel Eze</v>
      </c>
      <c r="AD67" s="42">
        <f>INDEX($O$67:$O$71,MATCH(LARGE($AB$67:$AB$71,ROW()-ROW($AC$66)),$AB$67:$AB$71,0))</f>
        <v>78.975999999999999</v>
      </c>
      <c r="AE67" s="42">
        <f>$H$8</f>
        <v>75</v>
      </c>
      <c r="AF67" s="42" t="s">
        <v>1457</v>
      </c>
      <c r="AG67" s="42">
        <f>J67</f>
        <v>301</v>
      </c>
      <c r="AH67" s="42">
        <f>J68</f>
        <v>230</v>
      </c>
      <c r="AI67" s="42">
        <f>J69</f>
        <v>160</v>
      </c>
      <c r="AJ67" s="42">
        <f>J70</f>
        <v>155</v>
      </c>
      <c r="AK67" s="5">
        <f>J71</f>
        <v>155</v>
      </c>
    </row>
    <row r="68" spans="1:37" x14ac:dyDescent="0.25">
      <c r="A68" s="44" t="s">
        <v>3</v>
      </c>
      <c r="B68" s="45">
        <f>COUNTIF(Employee_Master[Department],$A68)</f>
        <v>112</v>
      </c>
      <c r="C68" s="46">
        <f>SUMIF(Employee_Master[Department],$A68,Employee_Master[Salary (NGN)])</f>
        <v>59591945</v>
      </c>
      <c r="D68" s="46">
        <f t="shared" ref="D68:D77" si="0">IFERROR(C68/B68,0)</f>
        <v>532070.9375</v>
      </c>
      <c r="E68" s="47">
        <f>IFERROR(AVERAGEIF(Employee_Master[Department],$A68,Employee_Master[Attendance Rate]),0)</f>
        <v>0.75174319727891137</v>
      </c>
      <c r="F68" s="45">
        <f>SUMIF(Employee_Master[Department],$A68,Employee_Master[Total Leave Days])</f>
        <v>378</v>
      </c>
      <c r="G68" s="48">
        <f>IFERROR(AVERAGEIFS(Employee_Master[Performance Score],Employee_Master[Department],$A68,Employee_Master[Rating],"&lt;&gt;Not Reviewed"),0)</f>
        <v>77.520547945205479</v>
      </c>
      <c r="H68" s="42"/>
      <c r="I68" s="44" t="s">
        <v>1019</v>
      </c>
      <c r="J68" s="45">
        <f>COUNTIF(Employee_Master[Rating],$I68)</f>
        <v>230</v>
      </c>
      <c r="K68" s="47">
        <f t="shared" ref="K68:K71" si="1">J68/$A$11</f>
        <v>0.22977022977022976</v>
      </c>
      <c r="L68" s="42"/>
      <c r="M68" s="44" t="s">
        <v>1016</v>
      </c>
      <c r="N68" s="45">
        <f>COUNTIF(Employee_Master[Manager],$M68)</f>
        <v>125</v>
      </c>
      <c r="O68" s="48">
        <f>IFERROR(AVERAGEIFS(Employee_Master[Performance Score],Employee_Master[Manager],$M68,Employee_Master[Rating],"&lt;&gt;Not Reviewed"),0)</f>
        <v>78.975999999999999</v>
      </c>
      <c r="P68" s="47">
        <f>IFERROR(AVERAGEIF(Employee_Master[Manager],$M68,Employee_Master[Attendance Rate]),0)</f>
        <v>0.73874285714285659</v>
      </c>
      <c r="Q68" s="42"/>
      <c r="R68" s="49">
        <f t="shared" ref="R68:R77" si="2">$B68+ROW()/100000</f>
        <v>112.00068</v>
      </c>
      <c r="S68" s="50" t="str">
        <f t="shared" ref="S68:S77" si="3">INDEX($A$67:$A$77,MATCH(SMALL($R$67:$R$77,ROW()-ROW($S$66)),$R$67:$R$77,0))</f>
        <v>Logistics</v>
      </c>
      <c r="T68" s="42">
        <f t="shared" ref="T68:T77" si="4">INDEX($B$67:$B$77,MATCH(SMALL($R$67:$R$77,ROW()-ROW($S$66)),$R$67:$R$77,0))</f>
        <v>73</v>
      </c>
      <c r="U68" s="49">
        <f t="shared" ref="U68:U77" si="5">$D68+ROW()/100000</f>
        <v>532070.93818000006</v>
      </c>
      <c r="V68" s="42" t="str">
        <f t="shared" ref="V68:V77" si="6">INDEX($A$67:$A$77,MATCH(SMALL($U$67:$U$77,ROW()-ROW($V$66)),$U$67:$U$77,0))</f>
        <v>Sales</v>
      </c>
      <c r="W68" s="42">
        <f t="shared" ref="W68:W77" si="7">INDEX($D$67:$D$77,MATCH(SMALL($U$67:$U$77,ROW()-ROW($V$66)),$U$67:$U$77,0))</f>
        <v>508805.97849462368</v>
      </c>
      <c r="X68" s="51">
        <f t="shared" ref="X68:X77" si="8">$E68+ROW()/100000</f>
        <v>0.75242319727891138</v>
      </c>
      <c r="Y68" s="52" t="str">
        <f t="shared" ref="Y68:Y77" si="9">INDEX($A$67:$A$77,MATCH(SMALL($X$67:$X$77,ROW()-ROW($Y$66)),$X$67:$X$77,0))</f>
        <v>Sales</v>
      </c>
      <c r="Z68" s="42">
        <f t="shared" ref="Z68:Z77" si="10">INDEX($E$67:$E$77,MATCH(SMALL($X$67:$X$77,ROW()-ROW($Y$66)),$X$67:$X$77,0))</f>
        <v>0.73113159242191472</v>
      </c>
      <c r="AA68" s="49">
        <f t="shared" ref="AA68:AA77" si="11">$D$8</f>
        <v>0.85</v>
      </c>
      <c r="AB68" s="53">
        <f t="shared" ref="AB68:AB71" si="12">$O68+ROW()/100000</f>
        <v>78.976680000000002</v>
      </c>
      <c r="AC68" s="42" t="str">
        <f t="shared" ref="AC68:AC71" si="13">INDEX($M$67:$M$71,MATCH(LARGE($AB$67:$AB$71,ROW()-ROW($AC$66)),$AB$67:$AB$71,0))</f>
        <v>Michael Brown</v>
      </c>
      <c r="AD68" s="42">
        <f t="shared" ref="AD68:AD71" si="14">INDEX($O$67:$O$71,MATCH(LARGE($AB$67:$AB$71,ROW()-ROW($AC$66)),$AB$67:$AB$71,0))</f>
        <v>77.918918918918919</v>
      </c>
      <c r="AE68" s="42">
        <f t="shared" ref="AE68:AE71" si="15">$H$8</f>
        <v>75</v>
      </c>
      <c r="AF68" s="42"/>
      <c r="AG68" s="42"/>
      <c r="AH68" s="42"/>
      <c r="AI68" s="42"/>
      <c r="AJ68" s="42"/>
    </row>
    <row r="69" spans="1:37" x14ac:dyDescent="0.25">
      <c r="A69" s="44" t="s">
        <v>7</v>
      </c>
      <c r="B69" s="45">
        <f>COUNTIF(Employee_Master[Department],$A69)</f>
        <v>110</v>
      </c>
      <c r="C69" s="46">
        <f>SUMIF(Employee_Master[Department],$A69,Employee_Master[Salary (NGN)])</f>
        <v>58438392</v>
      </c>
      <c r="D69" s="46">
        <f t="shared" si="0"/>
        <v>531258.10909090913</v>
      </c>
      <c r="E69" s="47">
        <f>IFERROR(AVERAGEIF(Employee_Master[Department],$A69,Employee_Master[Attendance Rate]),0)</f>
        <v>0.74464868464868406</v>
      </c>
      <c r="F69" s="45">
        <f>SUMIF(Employee_Master[Department],$A69,Employee_Master[Total Leave Days])</f>
        <v>461</v>
      </c>
      <c r="G69" s="48">
        <f>IFERROR(AVERAGEIFS(Employee_Master[Performance Score],Employee_Master[Department],$A69,Employee_Master[Rating],"&lt;&gt;Not Reviewed"),0)</f>
        <v>76.12658227848101</v>
      </c>
      <c r="H69" s="42"/>
      <c r="I69" s="44" t="s">
        <v>1017</v>
      </c>
      <c r="J69" s="45">
        <f>COUNTIF(Employee_Master[Rating],$I69)</f>
        <v>160</v>
      </c>
      <c r="K69" s="47">
        <f t="shared" si="1"/>
        <v>0.15984015984015984</v>
      </c>
      <c r="L69" s="42"/>
      <c r="M69" s="44" t="s">
        <v>1018</v>
      </c>
      <c r="N69" s="45">
        <f>COUNTIF(Employee_Master[Manager],$M69)</f>
        <v>120</v>
      </c>
      <c r="O69" s="48">
        <f>IFERROR(AVERAGEIFS(Employee_Master[Performance Score],Employee_Master[Manager],$M69,Employee_Master[Rating],"&lt;&gt;Not Reviewed"),0)</f>
        <v>76.141666666666666</v>
      </c>
      <c r="P69" s="47">
        <f>IFERROR(AVERAGEIF(Employee_Master[Manager],$M69,Employee_Master[Attendance Rate]),0)</f>
        <v>0.74281746031745988</v>
      </c>
      <c r="Q69" s="42"/>
      <c r="R69" s="49">
        <f t="shared" si="2"/>
        <v>110.00069000000001</v>
      </c>
      <c r="S69" s="50" t="str">
        <f t="shared" si="3"/>
        <v>Customer Success</v>
      </c>
      <c r="T69" s="42">
        <f t="shared" si="4"/>
        <v>84</v>
      </c>
      <c r="U69" s="49">
        <f t="shared" si="5"/>
        <v>531258.10978090914</v>
      </c>
      <c r="V69" s="42" t="str">
        <f t="shared" si="6"/>
        <v>NA</v>
      </c>
      <c r="W69" s="42">
        <f t="shared" si="7"/>
        <v>512588.51851851854</v>
      </c>
      <c r="X69" s="51">
        <f t="shared" si="8"/>
        <v>0.74533868464868402</v>
      </c>
      <c r="Y69" s="52" t="str">
        <f t="shared" si="9"/>
        <v>Finance</v>
      </c>
      <c r="Z69" s="42">
        <f t="shared" si="10"/>
        <v>0.73242630385487484</v>
      </c>
      <c r="AA69" s="49">
        <f t="shared" si="11"/>
        <v>0.85</v>
      </c>
      <c r="AB69" s="53">
        <f t="shared" si="12"/>
        <v>76.142356666666672</v>
      </c>
      <c r="AC69" s="42" t="str">
        <f t="shared" si="13"/>
        <v>Not Assigned</v>
      </c>
      <c r="AD69" s="42">
        <f t="shared" si="14"/>
        <v>77.319018404907979</v>
      </c>
      <c r="AE69" s="42">
        <f t="shared" si="15"/>
        <v>75</v>
      </c>
      <c r="AF69" s="42"/>
      <c r="AG69" s="42"/>
      <c r="AH69" s="42"/>
      <c r="AI69" s="42"/>
      <c r="AJ69" s="42"/>
    </row>
    <row r="70" spans="1:37" x14ac:dyDescent="0.25">
      <c r="A70" s="44" t="s">
        <v>5</v>
      </c>
      <c r="B70" s="45">
        <f>COUNTIF(Employee_Master[Department],$A70)</f>
        <v>106</v>
      </c>
      <c r="C70" s="46">
        <f>SUMIF(Employee_Master[Department],$A70,Employee_Master[Salary (NGN)])</f>
        <v>55521212</v>
      </c>
      <c r="D70" s="46">
        <f t="shared" si="0"/>
        <v>523785.01886792452</v>
      </c>
      <c r="E70" s="47">
        <f>IFERROR(AVERAGEIF(Employee_Master[Department],$A70,Employee_Master[Attendance Rate]),0)</f>
        <v>0.73242630385487484</v>
      </c>
      <c r="F70" s="45">
        <f>SUMIF(Employee_Master[Department],$A70,Employee_Master[Total Leave Days])</f>
        <v>455</v>
      </c>
      <c r="G70" s="48">
        <f>IFERROR(AVERAGEIFS(Employee_Master[Performance Score],Employee_Master[Department],$A70,Employee_Master[Rating],"&lt;&gt;Not Reviewed"),0)</f>
        <v>76.888888888888886</v>
      </c>
      <c r="H70" s="42"/>
      <c r="I70" s="44" t="s">
        <v>1020</v>
      </c>
      <c r="J70" s="45">
        <f>COUNTIF(Employee_Master[Rating],$I70)</f>
        <v>155</v>
      </c>
      <c r="K70" s="47">
        <f t="shared" si="1"/>
        <v>0.15484515484515485</v>
      </c>
      <c r="L70" s="42"/>
      <c r="M70" s="44" t="s">
        <v>1021</v>
      </c>
      <c r="N70" s="45">
        <f>COUNTIF(Employee_Master[Manager],$M70)</f>
        <v>148</v>
      </c>
      <c r="O70" s="48">
        <f>IFERROR(AVERAGEIFS(Employee_Master[Performance Score],Employee_Master[Manager],$M70,Employee_Master[Rating],"&lt;&gt;Not Reviewed"),0)</f>
        <v>77.918918918918919</v>
      </c>
      <c r="P70" s="47">
        <f>IFERROR(AVERAGEIF(Employee_Master[Manager],$M70,Employee_Master[Attendance Rate]),0)</f>
        <v>0.73638996138996093</v>
      </c>
      <c r="Q70" s="42"/>
      <c r="R70" s="49">
        <f t="shared" si="2"/>
        <v>106.00069999999999</v>
      </c>
      <c r="S70" s="50" t="str">
        <f t="shared" si="3"/>
        <v>Legal</v>
      </c>
      <c r="T70" s="42">
        <f t="shared" si="4"/>
        <v>89</v>
      </c>
      <c r="U70" s="49">
        <f t="shared" si="5"/>
        <v>523785.01956792449</v>
      </c>
      <c r="V70" s="42" t="str">
        <f t="shared" si="6"/>
        <v>Finance</v>
      </c>
      <c r="W70" s="42">
        <f t="shared" si="7"/>
        <v>523785.01886792452</v>
      </c>
      <c r="X70" s="51">
        <f t="shared" si="8"/>
        <v>0.73312630385487487</v>
      </c>
      <c r="Y70" s="52" t="str">
        <f t="shared" si="9"/>
        <v>Logistics</v>
      </c>
      <c r="Z70" s="42">
        <f t="shared" si="10"/>
        <v>0.73450750163078937</v>
      </c>
      <c r="AA70" s="49">
        <f t="shared" si="11"/>
        <v>0.85</v>
      </c>
      <c r="AB70" s="53">
        <f t="shared" si="12"/>
        <v>77.919618918918914</v>
      </c>
      <c r="AC70" s="42" t="str">
        <f t="shared" si="13"/>
        <v>Grace Okafor</v>
      </c>
      <c r="AD70" s="42">
        <f t="shared" si="14"/>
        <v>76.141666666666666</v>
      </c>
      <c r="AE70" s="42">
        <f t="shared" si="15"/>
        <v>75</v>
      </c>
      <c r="AF70" s="42"/>
      <c r="AG70" s="42"/>
      <c r="AH70" s="42"/>
      <c r="AI70" s="42"/>
      <c r="AJ70" s="42"/>
    </row>
    <row r="71" spans="1:37" x14ac:dyDescent="0.25">
      <c r="A71" s="44" t="s">
        <v>23</v>
      </c>
      <c r="B71" s="45">
        <f>COUNTIF(Employee_Master[Department],$A71)</f>
        <v>98</v>
      </c>
      <c r="C71" s="46">
        <f>SUMIF(Employee_Master[Department],$A71,Employee_Master[Salary (NGN)])</f>
        <v>53865455</v>
      </c>
      <c r="D71" s="46">
        <f t="shared" si="0"/>
        <v>549647.5</v>
      </c>
      <c r="E71" s="47">
        <f>IFERROR(AVERAGEIF(Employee_Master[Department],$A71,Employee_Master[Attendance Rate]),0)</f>
        <v>0.7552964042759962</v>
      </c>
      <c r="F71" s="45">
        <f>SUMIF(Employee_Master[Department],$A71,Employee_Master[Total Leave Days])</f>
        <v>360</v>
      </c>
      <c r="G71" s="48">
        <f>IFERROR(AVERAGEIFS(Employee_Master[Performance Score],Employee_Master[Department],$A71,Employee_Master[Rating],"&lt;&gt;Not Reviewed"),0)</f>
        <v>73.438356164383563</v>
      </c>
      <c r="H71" s="42"/>
      <c r="I71" s="44" t="s">
        <v>1015</v>
      </c>
      <c r="J71" s="45">
        <f>COUNTIF(Employee_Master[Rating],$I71)</f>
        <v>155</v>
      </c>
      <c r="K71" s="47">
        <f t="shared" si="1"/>
        <v>0.15484515484515485</v>
      </c>
      <c r="L71" s="42"/>
      <c r="M71" s="44" t="s">
        <v>1413</v>
      </c>
      <c r="N71" s="45">
        <f>COUNTIF(Employee_Master[Manager],$M71)</f>
        <v>464</v>
      </c>
      <c r="O71" s="48">
        <f>IFERROR(AVERAGEIFS(Employee_Master[Performance Score],Employee_Master[Manager],$M71,Employee_Master[Rating],"&lt;&gt;Not Reviewed"),0)</f>
        <v>77.319018404907979</v>
      </c>
      <c r="P71" s="47">
        <f>IFERROR(AVERAGEIF(Employee_Master[Manager],$M71,Employee_Master[Attendance Rate]),0)</f>
        <v>0.74949485359852797</v>
      </c>
      <c r="Q71" s="42"/>
      <c r="R71" s="49">
        <f t="shared" si="2"/>
        <v>98.000709999999998</v>
      </c>
      <c r="S71" s="50" t="str">
        <f t="shared" si="3"/>
        <v>Sales</v>
      </c>
      <c r="T71" s="42">
        <f t="shared" si="4"/>
        <v>93</v>
      </c>
      <c r="U71" s="49">
        <f t="shared" si="5"/>
        <v>549647.50071000005</v>
      </c>
      <c r="V71" s="42" t="str">
        <f t="shared" si="6"/>
        <v>Customer Success</v>
      </c>
      <c r="W71" s="42">
        <f t="shared" si="7"/>
        <v>524894.91666666663</v>
      </c>
      <c r="X71" s="51">
        <f t="shared" si="8"/>
        <v>0.75600640427599619</v>
      </c>
      <c r="Y71" s="52" t="str">
        <f t="shared" si="9"/>
        <v>I.T</v>
      </c>
      <c r="Z71" s="42">
        <f t="shared" si="10"/>
        <v>0.73784461152882153</v>
      </c>
      <c r="AA71" s="49">
        <f t="shared" si="11"/>
        <v>0.85</v>
      </c>
      <c r="AB71" s="53">
        <f t="shared" si="12"/>
        <v>77.319728404907977</v>
      </c>
      <c r="AC71" s="42" t="str">
        <f t="shared" si="13"/>
        <v>Sarah Johnson</v>
      </c>
      <c r="AD71" s="42">
        <f t="shared" si="14"/>
        <v>76.111111111111114</v>
      </c>
      <c r="AE71" s="42">
        <f t="shared" si="15"/>
        <v>75</v>
      </c>
      <c r="AF71" s="42"/>
      <c r="AG71" s="42"/>
      <c r="AH71" s="42"/>
      <c r="AI71" s="42"/>
      <c r="AJ71" s="42"/>
    </row>
    <row r="72" spans="1:37" x14ac:dyDescent="0.25">
      <c r="A72" s="44" t="s">
        <v>1037</v>
      </c>
      <c r="B72" s="45">
        <f>COUNTIF(Employee_Master[Department],$A72)</f>
        <v>95</v>
      </c>
      <c r="C72" s="46">
        <f>SUMIF(Employee_Master[Department],$A72,Employee_Master[Salary (NGN)])</f>
        <v>52887077</v>
      </c>
      <c r="D72" s="46">
        <f t="shared" si="0"/>
        <v>556706.07368421054</v>
      </c>
      <c r="E72" s="47">
        <f>IFERROR(AVERAGEIF(Employee_Master[Department],$A72,Employee_Master[Attendance Rate]),0)</f>
        <v>0.73784461152882153</v>
      </c>
      <c r="F72" s="45">
        <f>SUMIF(Employee_Master[Department],$A72,Employee_Master[Total Leave Days])</f>
        <v>467</v>
      </c>
      <c r="G72" s="48">
        <f>IFERROR(AVERAGEIFS(Employee_Master[Performance Score],Employee_Master[Department],$A72,Employee_Master[Rating],"&lt;&gt;Not Reviewed"),0)</f>
        <v>77.985294117647058</v>
      </c>
      <c r="H72" s="42"/>
      <c r="I72" s="42"/>
      <c r="J72" s="42"/>
      <c r="K72" s="42"/>
      <c r="L72" s="42"/>
      <c r="M72" s="42"/>
      <c r="N72" s="42"/>
      <c r="O72" s="42"/>
      <c r="P72" s="42"/>
      <c r="Q72" s="42"/>
      <c r="R72" s="49">
        <f t="shared" si="2"/>
        <v>95.000720000000001</v>
      </c>
      <c r="S72" s="50" t="str">
        <f t="shared" si="3"/>
        <v>I.T</v>
      </c>
      <c r="T72" s="42">
        <f t="shared" si="4"/>
        <v>95</v>
      </c>
      <c r="U72" s="49">
        <f t="shared" si="5"/>
        <v>556706.07440421055</v>
      </c>
      <c r="V72" s="42" t="str">
        <f t="shared" si="6"/>
        <v>Operations</v>
      </c>
      <c r="W72" s="42">
        <f t="shared" si="7"/>
        <v>531258.10909090913</v>
      </c>
      <c r="X72" s="51">
        <f t="shared" si="8"/>
        <v>0.73856461152882158</v>
      </c>
      <c r="Y72" s="52" t="str">
        <f t="shared" si="9"/>
        <v>Operations</v>
      </c>
      <c r="Z72" s="42">
        <f t="shared" si="10"/>
        <v>0.74464868464868406</v>
      </c>
      <c r="AA72" s="49">
        <f t="shared" si="11"/>
        <v>0.85</v>
      </c>
      <c r="AB72" s="42"/>
      <c r="AC72" s="42"/>
      <c r="AD72" s="42"/>
      <c r="AE72" s="42"/>
      <c r="AF72" s="42"/>
      <c r="AG72" s="42"/>
      <c r="AH72" s="42"/>
      <c r="AI72" s="42"/>
      <c r="AJ72" s="42"/>
    </row>
    <row r="73" spans="1:37" x14ac:dyDescent="0.25">
      <c r="A73" s="44" t="s">
        <v>27</v>
      </c>
      <c r="B73" s="45">
        <f>COUNTIF(Employee_Master[Department],$A73)</f>
        <v>93</v>
      </c>
      <c r="C73" s="46">
        <f>SUMIF(Employee_Master[Department],$A73,Employee_Master[Salary (NGN)])</f>
        <v>47318956</v>
      </c>
      <c r="D73" s="46">
        <f t="shared" si="0"/>
        <v>508805.97849462368</v>
      </c>
      <c r="E73" s="47">
        <f>IFERROR(AVERAGEIF(Employee_Master[Department],$A73,Employee_Master[Attendance Rate]),0)</f>
        <v>0.73113159242191472</v>
      </c>
      <c r="F73" s="45">
        <f>SUMIF(Employee_Master[Department],$A73,Employee_Master[Total Leave Days])</f>
        <v>330</v>
      </c>
      <c r="G73" s="48">
        <f>IFERROR(AVERAGEIFS(Employee_Master[Performance Score],Employee_Master[Department],$A73,Employee_Master[Rating],"&lt;&gt;Not Reviewed"),0)</f>
        <v>76.911764705882348</v>
      </c>
      <c r="H73" s="42"/>
      <c r="I73" s="42"/>
      <c r="J73" s="42"/>
      <c r="K73" s="42"/>
      <c r="L73" s="42"/>
      <c r="M73" s="42"/>
      <c r="N73" s="42"/>
      <c r="O73" s="42"/>
      <c r="P73" s="42"/>
      <c r="Q73" s="42"/>
      <c r="R73" s="49">
        <f t="shared" si="2"/>
        <v>93.000730000000004</v>
      </c>
      <c r="S73" s="50" t="str">
        <f t="shared" si="3"/>
        <v>Human Resources</v>
      </c>
      <c r="T73" s="42">
        <f t="shared" si="4"/>
        <v>98</v>
      </c>
      <c r="U73" s="49">
        <f t="shared" si="5"/>
        <v>508805.9792246237</v>
      </c>
      <c r="V73" s="42" t="str">
        <f t="shared" si="6"/>
        <v>Procurement</v>
      </c>
      <c r="W73" s="42">
        <f t="shared" si="7"/>
        <v>532070.9375</v>
      </c>
      <c r="X73" s="51">
        <f t="shared" si="8"/>
        <v>0.73186159242191473</v>
      </c>
      <c r="Y73" s="52" t="str">
        <f t="shared" si="9"/>
        <v>Procurement</v>
      </c>
      <c r="Z73" s="42">
        <f t="shared" si="10"/>
        <v>0.75174319727891137</v>
      </c>
      <c r="AA73" s="49">
        <f t="shared" si="11"/>
        <v>0.85</v>
      </c>
      <c r="AB73" s="42"/>
      <c r="AC73" s="42"/>
      <c r="AD73" s="42"/>
      <c r="AE73" s="42"/>
      <c r="AF73" s="42"/>
      <c r="AG73" s="42"/>
      <c r="AH73" s="42"/>
      <c r="AI73" s="42"/>
      <c r="AJ73" s="42"/>
    </row>
    <row r="74" spans="1:37" x14ac:dyDescent="0.25">
      <c r="A74" s="44" t="s">
        <v>52</v>
      </c>
      <c r="B74" s="45">
        <f>COUNTIF(Employee_Master[Department],$A74)</f>
        <v>89</v>
      </c>
      <c r="C74" s="46">
        <f>SUMIF(Employee_Master[Department],$A74,Employee_Master[Salary (NGN)])</f>
        <v>48240278</v>
      </c>
      <c r="D74" s="46">
        <f t="shared" si="0"/>
        <v>542025.59550561802</v>
      </c>
      <c r="E74" s="47">
        <f>IFERROR(AVERAGEIF(Employee_Master[Department],$A74,Employee_Master[Attendance Rate]),0)</f>
        <v>0.76645264847511996</v>
      </c>
      <c r="F74" s="45">
        <f>SUMIF(Employee_Master[Department],$A74,Employee_Master[Total Leave Days])</f>
        <v>278</v>
      </c>
      <c r="G74" s="48">
        <f>IFERROR(AVERAGEIFS(Employee_Master[Performance Score],Employee_Master[Department],$A74,Employee_Master[Rating],"&lt;&gt;Not Reviewed"),0)</f>
        <v>78.9375</v>
      </c>
      <c r="H74" s="42"/>
      <c r="I74" s="42"/>
      <c r="J74" s="42"/>
      <c r="K74" s="42"/>
      <c r="L74" s="42"/>
      <c r="M74" s="42"/>
      <c r="N74" s="42"/>
      <c r="O74" s="42"/>
      <c r="P74" s="42"/>
      <c r="Q74" s="42"/>
      <c r="R74" s="49">
        <f t="shared" si="2"/>
        <v>89.000739999999993</v>
      </c>
      <c r="S74" s="50" t="str">
        <f t="shared" si="3"/>
        <v>Finance</v>
      </c>
      <c r="T74" s="42">
        <f t="shared" si="4"/>
        <v>106</v>
      </c>
      <c r="U74" s="49">
        <f t="shared" si="5"/>
        <v>542025.59624561807</v>
      </c>
      <c r="V74" s="42" t="str">
        <f t="shared" si="6"/>
        <v>Marketing</v>
      </c>
      <c r="W74" s="42">
        <f t="shared" si="7"/>
        <v>541621.14035087719</v>
      </c>
      <c r="X74" s="51">
        <f t="shared" si="8"/>
        <v>0.76719264847511992</v>
      </c>
      <c r="Y74" s="52" t="str">
        <f t="shared" si="9"/>
        <v>NA</v>
      </c>
      <c r="Z74" s="42">
        <f t="shared" si="10"/>
        <v>0.75167548500881853</v>
      </c>
      <c r="AA74" s="49">
        <f t="shared" si="11"/>
        <v>0.85</v>
      </c>
      <c r="AB74" s="42"/>
      <c r="AC74" s="42"/>
      <c r="AD74" s="42"/>
      <c r="AE74" s="42"/>
      <c r="AF74" s="42"/>
      <c r="AG74" s="42"/>
      <c r="AH74" s="42"/>
      <c r="AI74" s="42"/>
      <c r="AJ74" s="42"/>
    </row>
    <row r="75" spans="1:37" x14ac:dyDescent="0.25">
      <c r="A75" s="44" t="s">
        <v>37</v>
      </c>
      <c r="B75" s="45">
        <f>COUNTIF(Employee_Master[Department],$A75)</f>
        <v>84</v>
      </c>
      <c r="C75" s="46">
        <f>SUMIF(Employee_Master[Department],$A75,Employee_Master[Salary (NGN)])</f>
        <v>44091173</v>
      </c>
      <c r="D75" s="46">
        <f t="shared" si="0"/>
        <v>524894.91666666663</v>
      </c>
      <c r="E75" s="47">
        <f>IFERROR(AVERAGEIF(Employee_Master[Department],$A75,Employee_Master[Attendance Rate]),0)</f>
        <v>0.72840136054421745</v>
      </c>
      <c r="F75" s="45">
        <f>SUMIF(Employee_Master[Department],$A75,Employee_Master[Total Leave Days])</f>
        <v>269</v>
      </c>
      <c r="G75" s="48">
        <f>IFERROR(AVERAGEIFS(Employee_Master[Performance Score],Employee_Master[Department],$A75,Employee_Master[Rating],"&lt;&gt;Not Reviewed"),0)</f>
        <v>80.515625</v>
      </c>
      <c r="H75" s="42"/>
      <c r="I75" s="42"/>
      <c r="J75" s="42"/>
      <c r="K75" s="42"/>
      <c r="L75" s="42"/>
      <c r="M75" s="42"/>
      <c r="N75" s="42"/>
      <c r="O75" s="42"/>
      <c r="P75" s="42"/>
      <c r="Q75" s="42"/>
      <c r="R75" s="49">
        <f t="shared" si="2"/>
        <v>84.000749999999996</v>
      </c>
      <c r="S75" s="50" t="str">
        <f t="shared" si="3"/>
        <v>Operations</v>
      </c>
      <c r="T75" s="42">
        <f t="shared" si="4"/>
        <v>110</v>
      </c>
      <c r="U75" s="49">
        <f t="shared" si="5"/>
        <v>524894.91741666663</v>
      </c>
      <c r="V75" s="42" t="str">
        <f t="shared" si="6"/>
        <v>Legal</v>
      </c>
      <c r="W75" s="42">
        <f t="shared" si="7"/>
        <v>542025.59550561802</v>
      </c>
      <c r="X75" s="51">
        <f t="shared" si="8"/>
        <v>0.72915136054421748</v>
      </c>
      <c r="Y75" s="52" t="str">
        <f t="shared" si="9"/>
        <v>Marketing</v>
      </c>
      <c r="Z75" s="42">
        <f t="shared" si="10"/>
        <v>0.75495790758948622</v>
      </c>
      <c r="AA75" s="49">
        <f t="shared" si="11"/>
        <v>0.85</v>
      </c>
      <c r="AB75" s="42"/>
      <c r="AC75" s="42"/>
      <c r="AD75" s="42"/>
      <c r="AE75" s="42"/>
      <c r="AF75" s="42"/>
      <c r="AG75" s="42"/>
      <c r="AH75" s="42"/>
      <c r="AI75" s="42"/>
      <c r="AJ75" s="42"/>
    </row>
    <row r="76" spans="1:37" x14ac:dyDescent="0.25">
      <c r="A76" s="44" t="s">
        <v>12</v>
      </c>
      <c r="B76" s="45">
        <f>COUNTIF(Employee_Master[Department],$A76)</f>
        <v>73</v>
      </c>
      <c r="C76" s="46">
        <f>SUMIF(Employee_Master[Department],$A76,Employee_Master[Salary (NGN)])</f>
        <v>36086808</v>
      </c>
      <c r="D76" s="46">
        <f t="shared" si="0"/>
        <v>494339.83561643836</v>
      </c>
      <c r="E76" s="47">
        <f>IFERROR(AVERAGEIF(Employee_Master[Department],$A76,Employee_Master[Attendance Rate]),0)</f>
        <v>0.73450750163078937</v>
      </c>
      <c r="F76" s="45">
        <f>SUMIF(Employee_Master[Department],$A76,Employee_Master[Total Leave Days])</f>
        <v>307</v>
      </c>
      <c r="G76" s="48">
        <f>IFERROR(AVERAGEIFS(Employee_Master[Performance Score],Employee_Master[Department],$A76,Employee_Master[Rating],"&lt;&gt;Not Reviewed"),0)</f>
        <v>75.37777777777778</v>
      </c>
      <c r="H76" s="42"/>
      <c r="I76" s="42"/>
      <c r="J76" s="42"/>
      <c r="K76" s="42"/>
      <c r="L76" s="42"/>
      <c r="M76" s="42"/>
      <c r="N76" s="42"/>
      <c r="O76" s="42"/>
      <c r="P76" s="42"/>
      <c r="Q76" s="42"/>
      <c r="R76" s="49">
        <f t="shared" si="2"/>
        <v>73.00076</v>
      </c>
      <c r="S76" s="50" t="str">
        <f t="shared" si="3"/>
        <v>Procurement</v>
      </c>
      <c r="T76" s="42">
        <f t="shared" si="4"/>
        <v>112</v>
      </c>
      <c r="U76" s="49">
        <f t="shared" si="5"/>
        <v>494339.83637643838</v>
      </c>
      <c r="V76" s="42" t="str">
        <f t="shared" si="6"/>
        <v>Human Resources</v>
      </c>
      <c r="W76" s="42">
        <f t="shared" si="7"/>
        <v>549647.5</v>
      </c>
      <c r="X76" s="51">
        <f t="shared" si="8"/>
        <v>0.73526750163078936</v>
      </c>
      <c r="Y76" s="52" t="str">
        <f t="shared" si="9"/>
        <v>Human Resources</v>
      </c>
      <c r="Z76" s="42">
        <f t="shared" si="10"/>
        <v>0.7552964042759962</v>
      </c>
      <c r="AA76" s="49">
        <f t="shared" si="11"/>
        <v>0.85</v>
      </c>
      <c r="AB76" s="42"/>
      <c r="AC76" s="42"/>
      <c r="AD76" s="42"/>
      <c r="AE76" s="42"/>
      <c r="AF76" s="42"/>
      <c r="AG76" s="42"/>
      <c r="AH76" s="42"/>
      <c r="AI76" s="42"/>
      <c r="AJ76" s="42"/>
    </row>
    <row r="77" spans="1:37" x14ac:dyDescent="0.25">
      <c r="A77" s="44" t="s">
        <v>1117</v>
      </c>
      <c r="B77" s="45">
        <f>COUNTIF(Employee_Master[Department],$A77)</f>
        <v>27</v>
      </c>
      <c r="C77" s="46">
        <f>SUMIF(Employee_Master[Department],$A77,Employee_Master[Salary (NGN)])</f>
        <v>13839890</v>
      </c>
      <c r="D77" s="46">
        <f t="shared" si="0"/>
        <v>512588.51851851854</v>
      </c>
      <c r="E77" s="47">
        <f>IFERROR(AVERAGEIF(Employee_Master[Department],$A77,Employee_Master[Attendance Rate]),0)</f>
        <v>0.75167548500881853</v>
      </c>
      <c r="F77" s="45">
        <f>SUMIF(Employee_Master[Department],$A77,Employee_Master[Total Leave Days])</f>
        <v>134</v>
      </c>
      <c r="G77" s="48">
        <f>IFERROR(AVERAGEIFS(Employee_Master[Performance Score],Employee_Master[Department],$A77,Employee_Master[Rating],"&lt;&gt;Not Reviewed"),0)</f>
        <v>84.882352941176464</v>
      </c>
      <c r="H77" s="42"/>
      <c r="I77" s="42"/>
      <c r="J77" s="42"/>
      <c r="K77" s="42"/>
      <c r="L77" s="42"/>
      <c r="M77" s="42"/>
      <c r="N77" s="42"/>
      <c r="O77" s="42"/>
      <c r="P77" s="42"/>
      <c r="Q77" s="42"/>
      <c r="R77" s="49">
        <f t="shared" si="2"/>
        <v>27.000769999999999</v>
      </c>
      <c r="S77" s="50" t="str">
        <f t="shared" si="3"/>
        <v>Marketing</v>
      </c>
      <c r="T77" s="42">
        <f t="shared" si="4"/>
        <v>114</v>
      </c>
      <c r="U77" s="49">
        <f t="shared" si="5"/>
        <v>512588.51928851852</v>
      </c>
      <c r="V77" s="42" t="str">
        <f t="shared" si="6"/>
        <v>I.T</v>
      </c>
      <c r="W77" s="42">
        <f t="shared" si="7"/>
        <v>556706.07368421054</v>
      </c>
      <c r="X77" s="51">
        <f t="shared" si="8"/>
        <v>0.75244548500881858</v>
      </c>
      <c r="Y77" s="52" t="str">
        <f t="shared" si="9"/>
        <v>Legal</v>
      </c>
      <c r="Z77" s="42">
        <f t="shared" si="10"/>
        <v>0.76645264847511996</v>
      </c>
      <c r="AA77" s="49">
        <f t="shared" si="11"/>
        <v>0.85</v>
      </c>
      <c r="AB77" s="42"/>
      <c r="AC77" s="42"/>
      <c r="AD77" s="42"/>
      <c r="AE77" s="42"/>
      <c r="AF77" s="42"/>
      <c r="AG77" s="42"/>
      <c r="AH77" s="42"/>
      <c r="AI77" s="42"/>
      <c r="AJ77" s="42"/>
    </row>
    <row r="78" spans="1:37" x14ac:dyDescent="0.25">
      <c r="A78" s="54" t="s">
        <v>1448</v>
      </c>
      <c r="B78" s="55">
        <f>SUM(B67:B77)</f>
        <v>1001</v>
      </c>
      <c r="C78" s="56">
        <f>SUM(C67:C77)</f>
        <v>531625996</v>
      </c>
      <c r="D78" s="54"/>
      <c r="E78" s="54"/>
      <c r="F78" s="55">
        <f>SUM(F67:F77)</f>
        <v>3869</v>
      </c>
      <c r="G78" s="54"/>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row>
    <row r="79" spans="1:37" x14ac:dyDescent="0.25">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row>
    <row r="80" spans="1:37" x14ac:dyDescent="0.25">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row>
    <row r="81" spans="1:36" x14ac:dyDescent="0.25">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row>
    <row r="82" spans="1:36" x14ac:dyDescent="0.25">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row>
    <row r="83" spans="1:36" x14ac:dyDescent="0.25">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row>
    <row r="84" spans="1:36" x14ac:dyDescent="0.25">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row>
    <row r="85" spans="1:36" x14ac:dyDescent="0.2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row>
    <row r="86" spans="1:36" x14ac:dyDescent="0.2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row>
    <row r="87" spans="1:36" x14ac:dyDescent="0.2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row>
    <row r="88" spans="1:36" x14ac:dyDescent="0.2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row>
    <row r="89" spans="1:36" x14ac:dyDescent="0.2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row>
    <row r="90" spans="1:36" x14ac:dyDescent="0.2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row>
    <row r="91" spans="1:36" x14ac:dyDescent="0.2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row>
    <row r="92" spans="1:36" x14ac:dyDescent="0.2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row>
    <row r="93" spans="1:36" x14ac:dyDescent="0.2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row>
    <row r="94" spans="1:36" x14ac:dyDescent="0.2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row>
    <row r="95" spans="1:36" x14ac:dyDescent="0.2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row>
    <row r="96" spans="1:36" x14ac:dyDescent="0.2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row>
    <row r="97" spans="1:36" x14ac:dyDescent="0.2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row>
    <row r="98" spans="1:36" x14ac:dyDescent="0.2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row>
    <row r="99" spans="1:36" x14ac:dyDescent="0.2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row>
    <row r="100" spans="1:36"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row>
    <row r="101" spans="1:36"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row>
    <row r="102" spans="1:36"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row>
    <row r="103" spans="1:36"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row>
    <row r="104" spans="1:36"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row>
    <row r="105" spans="1:36"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row>
    <row r="106" spans="1:36"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row>
    <row r="107" spans="1:36"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row>
  </sheetData>
  <mergeCells count="46">
    <mergeCell ref="A57:T57"/>
    <mergeCell ref="A58:T58"/>
    <mergeCell ref="A59:T59"/>
    <mergeCell ref="A60:T60"/>
    <mergeCell ref="A61:T61"/>
    <mergeCell ref="A62:T62"/>
    <mergeCell ref="B8:C8"/>
    <mergeCell ref="F8:G8"/>
    <mergeCell ref="A15:W15"/>
    <mergeCell ref="A16:K16"/>
    <mergeCell ref="M16:W16"/>
    <mergeCell ref="A38:K38"/>
    <mergeCell ref="M38:W38"/>
    <mergeCell ref="A54:T54"/>
    <mergeCell ref="A55:T55"/>
    <mergeCell ref="A56:T56"/>
    <mergeCell ref="Q14:T14"/>
    <mergeCell ref="A65:T65"/>
    <mergeCell ref="A10:D10"/>
    <mergeCell ref="A11:D11"/>
    <mergeCell ref="E10:H10"/>
    <mergeCell ref="E11:H11"/>
    <mergeCell ref="I10:L10"/>
    <mergeCell ref="I11:L11"/>
    <mergeCell ref="M10:P10"/>
    <mergeCell ref="M11:P11"/>
    <mergeCell ref="Q10:T10"/>
    <mergeCell ref="Q11:T11"/>
    <mergeCell ref="A12:D12"/>
    <mergeCell ref="A13:D13"/>
    <mergeCell ref="A14:D14"/>
    <mergeCell ref="E12:H12"/>
    <mergeCell ref="G3:T4"/>
    <mergeCell ref="G5:M5"/>
    <mergeCell ref="N5:T5"/>
    <mergeCell ref="A7:T7"/>
    <mergeCell ref="E13:H13"/>
    <mergeCell ref="E14:H14"/>
    <mergeCell ref="I12:L12"/>
    <mergeCell ref="I13:L13"/>
    <mergeCell ref="I14:L14"/>
    <mergeCell ref="M12:P12"/>
    <mergeCell ref="M13:P13"/>
    <mergeCell ref="M14:P14"/>
    <mergeCell ref="Q12:T12"/>
    <mergeCell ref="Q13:T13"/>
  </mergeCells>
  <conditionalFormatting sqref="F67:F77">
    <cfRule type="dataBar" priority="1">
      <dataBar>
        <cfvo type="min"/>
        <cfvo type="max"/>
        <color rgb="FFF59E0B"/>
      </dataBar>
      <extLst>
        <ext xmlns:x14="http://schemas.microsoft.com/office/spreadsheetml/2009/9/main" uri="{B025F937-C7B1-47D3-B67F-A62EFF666E3E}">
          <x14:id>{AC2F73A0-E468-429C-A1C6-343A62321AF2}</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AC2F73A0-E468-429C-A1C6-343A62321AF2}">
            <x14:dataBar minLength="0" maxLength="100" negativeBarColorSameAsPositive="1" axisPosition="none">
              <x14:cfvo type="min"/>
              <x14:cfvo type="max"/>
            </x14:dataBar>
          </x14:cfRule>
          <xm:sqref>F67:F77</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D8C99-39F4-4646-8FD9-AC2312FAEE34}">
  <dimension ref="A1:J45"/>
  <sheetViews>
    <sheetView topLeftCell="A28" workbookViewId="0">
      <selection activeCell="E35" sqref="E35"/>
    </sheetView>
  </sheetViews>
  <sheetFormatPr defaultRowHeight="15" x14ac:dyDescent="0.25"/>
  <cols>
    <col min="1" max="1" width="15.7109375" bestFit="1" customWidth="1"/>
    <col min="2" max="2" width="20" bestFit="1" customWidth="1"/>
    <col min="3" max="3" width="15.7109375" bestFit="1" customWidth="1"/>
    <col min="4" max="4" width="20.140625" bestFit="1" customWidth="1"/>
    <col min="5" max="5" width="22.85546875" bestFit="1" customWidth="1"/>
    <col min="6" max="6" width="24.7109375" bestFit="1" customWidth="1"/>
    <col min="7" max="7" width="16.85546875" bestFit="1" customWidth="1"/>
    <col min="8" max="8" width="22.85546875" bestFit="1" customWidth="1"/>
  </cols>
  <sheetData>
    <row r="1" spans="1:10" x14ac:dyDescent="0.25">
      <c r="E1" t="s">
        <v>1426</v>
      </c>
      <c r="F1" s="13">
        <f ca="1">NOW()</f>
        <v>46240.966231134262</v>
      </c>
      <c r="J1" s="19" t="s">
        <v>1451</v>
      </c>
    </row>
    <row r="3" spans="1:10" x14ac:dyDescent="0.25">
      <c r="A3" t="s">
        <v>1418</v>
      </c>
      <c r="C3" t="s">
        <v>1419</v>
      </c>
      <c r="E3" t="s">
        <v>1420</v>
      </c>
    </row>
    <row r="4" spans="1:10" x14ac:dyDescent="0.25">
      <c r="A4" s="10">
        <v>1001</v>
      </c>
      <c r="B4" s="10">
        <f>GETPIVOTDATA("EmployeeID",$A$3)</f>
        <v>1001</v>
      </c>
      <c r="C4" s="8">
        <v>531625996</v>
      </c>
      <c r="D4" s="11">
        <f>GETPIVOTDATA("Salary (NGN)",$C$3)</f>
        <v>531625996</v>
      </c>
      <c r="E4" s="8">
        <v>531094.90109890106</v>
      </c>
      <c r="F4" s="11">
        <f>GETPIVOTDATA("Salary (NGN)",$E$3)</f>
        <v>531094.90109890106</v>
      </c>
    </row>
    <row r="6" spans="1:10" x14ac:dyDescent="0.25">
      <c r="A6" t="s">
        <v>1421</v>
      </c>
      <c r="C6" s="1" t="s">
        <v>1408</v>
      </c>
      <c r="E6" s="1" t="s">
        <v>1425</v>
      </c>
    </row>
    <row r="7" spans="1:10" x14ac:dyDescent="0.25">
      <c r="A7" s="9">
        <v>0.74450036630036687</v>
      </c>
      <c r="B7" s="12">
        <f>GETPIVOTDATA("Attendance Rate",$A$6)</f>
        <v>0.74450036630036687</v>
      </c>
      <c r="C7" s="1">
        <v>3869</v>
      </c>
      <c r="D7" s="10">
        <f>GETPIVOTDATA("Total Leave Days",$C$6)</f>
        <v>3869</v>
      </c>
      <c r="E7" s="3">
        <v>54.049950049950048</v>
      </c>
      <c r="F7" s="4">
        <f>GETPIVOTDATA("Performance Score",$E$6)</f>
        <v>54.049950049950048</v>
      </c>
    </row>
    <row r="10" spans="1:10" x14ac:dyDescent="0.25">
      <c r="A10" s="6" t="s">
        <v>1416</v>
      </c>
      <c r="B10" t="s">
        <v>1415</v>
      </c>
      <c r="D10" s="6" t="s">
        <v>1416</v>
      </c>
      <c r="E10" t="s">
        <v>1415</v>
      </c>
      <c r="G10" s="6" t="s">
        <v>1416</v>
      </c>
      <c r="H10" t="s">
        <v>1420</v>
      </c>
    </row>
    <row r="11" spans="1:10" x14ac:dyDescent="0.25">
      <c r="A11" s="7" t="s">
        <v>9</v>
      </c>
      <c r="B11" s="1">
        <v>114</v>
      </c>
      <c r="D11" s="7" t="s">
        <v>1414</v>
      </c>
      <c r="E11" s="1">
        <v>301</v>
      </c>
      <c r="G11" s="7" t="s">
        <v>1037</v>
      </c>
      <c r="H11" s="8">
        <v>556706.07368421054</v>
      </c>
    </row>
    <row r="12" spans="1:10" x14ac:dyDescent="0.25">
      <c r="A12" s="7" t="s">
        <v>3</v>
      </c>
      <c r="B12" s="1">
        <v>112</v>
      </c>
      <c r="D12" s="7" t="s">
        <v>1019</v>
      </c>
      <c r="E12" s="1">
        <v>230</v>
      </c>
      <c r="G12" s="7" t="s">
        <v>23</v>
      </c>
      <c r="H12" s="8">
        <v>549647.5</v>
      </c>
    </row>
    <row r="13" spans="1:10" x14ac:dyDescent="0.25">
      <c r="A13" s="7" t="s">
        <v>7</v>
      </c>
      <c r="B13" s="1">
        <v>110</v>
      </c>
      <c r="D13" s="7" t="s">
        <v>1017</v>
      </c>
      <c r="E13" s="1">
        <v>160</v>
      </c>
      <c r="G13" s="7" t="s">
        <v>52</v>
      </c>
      <c r="H13" s="8">
        <v>542025.59550561802</v>
      </c>
    </row>
    <row r="14" spans="1:10" x14ac:dyDescent="0.25">
      <c r="A14" s="7" t="s">
        <v>5</v>
      </c>
      <c r="B14" s="1">
        <v>106</v>
      </c>
      <c r="D14" s="7" t="s">
        <v>1015</v>
      </c>
      <c r="E14" s="1">
        <v>155</v>
      </c>
      <c r="G14" s="7" t="s">
        <v>9</v>
      </c>
      <c r="H14" s="8">
        <v>541621.14035087719</v>
      </c>
    </row>
    <row r="15" spans="1:10" x14ac:dyDescent="0.25">
      <c r="A15" s="7" t="s">
        <v>23</v>
      </c>
      <c r="B15" s="9">
        <v>98</v>
      </c>
      <c r="D15" s="7" t="s">
        <v>1020</v>
      </c>
      <c r="E15" s="1">
        <v>155</v>
      </c>
      <c r="G15" s="7" t="s">
        <v>3</v>
      </c>
      <c r="H15" s="8">
        <v>532070.9375</v>
      </c>
    </row>
    <row r="16" spans="1:10" x14ac:dyDescent="0.25">
      <c r="A16" s="7" t="s">
        <v>1037</v>
      </c>
      <c r="B16" s="1">
        <v>95</v>
      </c>
      <c r="D16" s="7" t="s">
        <v>1417</v>
      </c>
      <c r="E16" s="1">
        <v>1001</v>
      </c>
      <c r="G16" s="7" t="s">
        <v>7</v>
      </c>
      <c r="H16" s="8">
        <v>531258.10909090913</v>
      </c>
    </row>
    <row r="17" spans="1:8" x14ac:dyDescent="0.25">
      <c r="A17" s="7" t="s">
        <v>27</v>
      </c>
      <c r="B17" s="1">
        <v>93</v>
      </c>
      <c r="G17" s="7" t="s">
        <v>37</v>
      </c>
      <c r="H17" s="8">
        <v>524894.91666666663</v>
      </c>
    </row>
    <row r="18" spans="1:8" x14ac:dyDescent="0.25">
      <c r="A18" s="7" t="s">
        <v>52</v>
      </c>
      <c r="B18" s="1">
        <v>89</v>
      </c>
      <c r="G18" s="7" t="s">
        <v>5</v>
      </c>
      <c r="H18" s="8">
        <v>523785.01886792452</v>
      </c>
    </row>
    <row r="19" spans="1:8" x14ac:dyDescent="0.25">
      <c r="A19" s="7" t="s">
        <v>37</v>
      </c>
      <c r="B19" s="9">
        <v>84</v>
      </c>
      <c r="D19" s="6" t="s">
        <v>1416</v>
      </c>
      <c r="E19" t="s">
        <v>1422</v>
      </c>
      <c r="G19" s="7" t="s">
        <v>1117</v>
      </c>
      <c r="H19" s="8">
        <v>512588.51851851854</v>
      </c>
    </row>
    <row r="20" spans="1:8" x14ac:dyDescent="0.25">
      <c r="A20" s="7" t="s">
        <v>12</v>
      </c>
      <c r="B20" s="1">
        <v>73</v>
      </c>
      <c r="D20" s="7" t="s">
        <v>52</v>
      </c>
      <c r="E20" s="9">
        <v>0.76645264847511996</v>
      </c>
      <c r="G20" s="7" t="s">
        <v>27</v>
      </c>
      <c r="H20" s="8">
        <v>508805.97849462368</v>
      </c>
    </row>
    <row r="21" spans="1:8" x14ac:dyDescent="0.25">
      <c r="A21" s="7" t="s">
        <v>1117</v>
      </c>
      <c r="B21" s="1">
        <v>27</v>
      </c>
      <c r="D21" s="7" t="s">
        <v>23</v>
      </c>
      <c r="E21" s="9">
        <v>0.7552964042759962</v>
      </c>
      <c r="G21" s="7" t="s">
        <v>12</v>
      </c>
      <c r="H21" s="8">
        <v>494339.83561643836</v>
      </c>
    </row>
    <row r="22" spans="1:8" x14ac:dyDescent="0.25">
      <c r="A22" s="7" t="s">
        <v>1417</v>
      </c>
      <c r="B22" s="1">
        <v>1001</v>
      </c>
      <c r="D22" s="7" t="s">
        <v>9</v>
      </c>
      <c r="E22" s="9">
        <v>0.75495790758948622</v>
      </c>
      <c r="G22" s="7" t="s">
        <v>1417</v>
      </c>
      <c r="H22" s="8">
        <v>531094.90109890106</v>
      </c>
    </row>
    <row r="23" spans="1:8" x14ac:dyDescent="0.25">
      <c r="D23" s="7" t="s">
        <v>3</v>
      </c>
      <c r="E23" s="9">
        <v>0.75174319727891137</v>
      </c>
    </row>
    <row r="24" spans="1:8" x14ac:dyDescent="0.25">
      <c r="D24" s="7" t="s">
        <v>1117</v>
      </c>
      <c r="E24" s="9">
        <v>0.75167548500881853</v>
      </c>
    </row>
    <row r="25" spans="1:8" x14ac:dyDescent="0.25">
      <c r="D25" s="7" t="s">
        <v>7</v>
      </c>
      <c r="E25" s="9">
        <v>0.74464868464868406</v>
      </c>
    </row>
    <row r="26" spans="1:8" x14ac:dyDescent="0.25">
      <c r="D26" s="7" t="s">
        <v>1037</v>
      </c>
      <c r="E26" s="9">
        <v>0.73784461152882153</v>
      </c>
    </row>
    <row r="27" spans="1:8" x14ac:dyDescent="0.25">
      <c r="D27" s="7" t="s">
        <v>12</v>
      </c>
      <c r="E27" s="9">
        <v>0.73450750163078937</v>
      </c>
    </row>
    <row r="28" spans="1:8" x14ac:dyDescent="0.25">
      <c r="D28" s="7" t="s">
        <v>5</v>
      </c>
      <c r="E28" s="9">
        <v>0.73242630385487484</v>
      </c>
    </row>
    <row r="29" spans="1:8" x14ac:dyDescent="0.25">
      <c r="D29" s="7" t="s">
        <v>27</v>
      </c>
      <c r="E29" s="9">
        <v>0.73113159242191472</v>
      </c>
    </row>
    <row r="30" spans="1:8" x14ac:dyDescent="0.25">
      <c r="D30" s="7" t="s">
        <v>37</v>
      </c>
      <c r="E30" s="9">
        <v>0.72840136054421745</v>
      </c>
    </row>
    <row r="31" spans="1:8" x14ac:dyDescent="0.25">
      <c r="D31" s="7" t="s">
        <v>1417</v>
      </c>
      <c r="E31" s="1">
        <v>0.74450036630036531</v>
      </c>
    </row>
    <row r="33" spans="1:5" x14ac:dyDescent="0.25">
      <c r="A33" s="6" t="s">
        <v>1416</v>
      </c>
      <c r="B33" t="s">
        <v>1423</v>
      </c>
    </row>
    <row r="34" spans="1:5" x14ac:dyDescent="0.25">
      <c r="A34" s="7" t="s">
        <v>1037</v>
      </c>
      <c r="B34" s="1">
        <v>467</v>
      </c>
      <c r="D34" s="6" t="s">
        <v>1416</v>
      </c>
      <c r="E34" t="s">
        <v>1424</v>
      </c>
    </row>
    <row r="35" spans="1:5" x14ac:dyDescent="0.25">
      <c r="A35" s="7" t="s">
        <v>7</v>
      </c>
      <c r="B35" s="1">
        <v>461</v>
      </c>
      <c r="D35" s="7" t="s">
        <v>1154</v>
      </c>
      <c r="E35" s="1">
        <v>416</v>
      </c>
    </row>
    <row r="36" spans="1:5" x14ac:dyDescent="0.25">
      <c r="A36" s="7" t="s">
        <v>5</v>
      </c>
      <c r="B36" s="1">
        <v>455</v>
      </c>
      <c r="D36" s="7" t="s">
        <v>1177</v>
      </c>
      <c r="E36" s="1">
        <v>399</v>
      </c>
    </row>
    <row r="37" spans="1:5" x14ac:dyDescent="0.25">
      <c r="A37" s="7" t="s">
        <v>9</v>
      </c>
      <c r="B37" s="1">
        <v>430</v>
      </c>
      <c r="D37" s="7" t="s">
        <v>1233</v>
      </c>
      <c r="E37" s="1">
        <v>384</v>
      </c>
    </row>
    <row r="38" spans="1:5" x14ac:dyDescent="0.25">
      <c r="A38" s="7" t="s">
        <v>3</v>
      </c>
      <c r="B38" s="1">
        <v>378</v>
      </c>
      <c r="D38" s="7" t="s">
        <v>1202</v>
      </c>
      <c r="E38" s="1">
        <v>375</v>
      </c>
    </row>
    <row r="39" spans="1:5" x14ac:dyDescent="0.25">
      <c r="A39" s="7" t="s">
        <v>23</v>
      </c>
      <c r="B39" s="1">
        <v>360</v>
      </c>
      <c r="D39" s="7" t="s">
        <v>1133</v>
      </c>
      <c r="E39" s="1">
        <v>350</v>
      </c>
    </row>
    <row r="40" spans="1:5" x14ac:dyDescent="0.25">
      <c r="A40" s="7" t="s">
        <v>27</v>
      </c>
      <c r="B40" s="1">
        <v>330</v>
      </c>
      <c r="D40" s="7" t="s">
        <v>1417</v>
      </c>
      <c r="E40" s="1">
        <v>1924</v>
      </c>
    </row>
    <row r="41" spans="1:5" x14ac:dyDescent="0.25">
      <c r="A41" s="7" t="s">
        <v>12</v>
      </c>
      <c r="B41" s="1">
        <v>307</v>
      </c>
    </row>
    <row r="42" spans="1:5" x14ac:dyDescent="0.25">
      <c r="A42" s="7" t="s">
        <v>52</v>
      </c>
      <c r="B42" s="1">
        <v>278</v>
      </c>
    </row>
    <row r="43" spans="1:5" x14ac:dyDescent="0.25">
      <c r="A43" s="7" t="s">
        <v>37</v>
      </c>
      <c r="B43" s="1">
        <v>269</v>
      </c>
    </row>
    <row r="44" spans="1:5" x14ac:dyDescent="0.25">
      <c r="A44" s="7" t="s">
        <v>1117</v>
      </c>
      <c r="B44" s="1">
        <v>134</v>
      </c>
    </row>
    <row r="45" spans="1:5" x14ac:dyDescent="0.25">
      <c r="A45" s="7" t="s">
        <v>1417</v>
      </c>
      <c r="B45" s="1">
        <v>3869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EC908C-82F5-4FB1-8C23-DB296AF434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Employee_Master</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2026-06-29T11:20:17Z</dcterms:created>
  <dcterms:modified xsi:type="dcterms:W3CDTF">2026-08-06T22:19:23Z</dcterms:modified>
</cp:coreProperties>
</file>